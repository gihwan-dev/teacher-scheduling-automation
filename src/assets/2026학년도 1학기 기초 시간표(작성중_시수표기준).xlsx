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2026 일과계\"/>
    </mc:Choice>
  </mc:AlternateContent>
  <xr:revisionPtr revIDLastSave="0" documentId="13_ncr:1_{565A5C0E-1930-40A2-94D8-85506AC58A3C}" xr6:coauthVersionLast="47" xr6:coauthVersionMax="47" xr10:uidLastSave="{00000000-0000-0000-0000-000000000000}"/>
  <bookViews>
    <workbookView xWindow="12560" yWindow="970" windowWidth="12590" windowHeight="11170" xr2:uid="{00000000-000D-0000-FFFF-FFFF00000000}"/>
  </bookViews>
  <sheets>
    <sheet name="1학기 시간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O18" i="1" l="1"/>
  <c r="AO32" i="1"/>
  <c r="AO28" i="1"/>
  <c r="AD4" i="1" l="1"/>
  <c r="AD3" i="1"/>
  <c r="AC4" i="1"/>
  <c r="AC3" i="1"/>
  <c r="AB7" i="1"/>
  <c r="AB6" i="1"/>
  <c r="AB5" i="1"/>
  <c r="M10" i="1"/>
  <c r="M9" i="1"/>
  <c r="M8" i="1"/>
  <c r="N7" i="1"/>
  <c r="N6" i="1"/>
  <c r="N5" i="1"/>
  <c r="O4" i="1"/>
  <c r="O3" i="1"/>
  <c r="AO33" i="1"/>
  <c r="AO31" i="1"/>
  <c r="I7" i="1"/>
  <c r="D5" i="1"/>
  <c r="C9" i="1"/>
  <c r="AO15" i="1"/>
  <c r="AO16" i="1"/>
  <c r="AO17" i="1"/>
  <c r="AO19" i="1"/>
  <c r="AO20" i="1"/>
  <c r="AO21" i="1"/>
  <c r="AO22" i="1"/>
  <c r="AO23" i="1"/>
  <c r="AO24" i="1"/>
  <c r="AO25" i="1"/>
  <c r="AO26" i="1"/>
  <c r="AO27" i="1"/>
  <c r="AO29" i="1"/>
  <c r="AO30" i="1"/>
  <c r="AO34" i="1"/>
  <c r="AO14" i="1"/>
  <c r="AG3" i="1" l="1"/>
  <c r="AH3" i="1"/>
  <c r="AI3" i="1"/>
  <c r="AJ3" i="1"/>
  <c r="AK3" i="1"/>
  <c r="AG4" i="1"/>
  <c r="AH4" i="1"/>
  <c r="AI4" i="1"/>
  <c r="AJ4" i="1"/>
  <c r="AK4" i="1"/>
  <c r="AG5" i="1"/>
  <c r="AH5" i="1"/>
  <c r="AI5" i="1"/>
  <c r="AJ5" i="1"/>
  <c r="AK5" i="1"/>
  <c r="AG6" i="1"/>
  <c r="AH6" i="1"/>
  <c r="AI6" i="1"/>
  <c r="AJ6" i="1"/>
  <c r="AK6" i="1"/>
  <c r="AG7" i="1"/>
  <c r="AH7" i="1"/>
  <c r="AI7" i="1"/>
  <c r="AJ7" i="1"/>
  <c r="AK7" i="1"/>
  <c r="AG8" i="1"/>
  <c r="AH8" i="1"/>
  <c r="AI8" i="1"/>
  <c r="AJ8" i="1"/>
  <c r="AK8" i="1"/>
  <c r="AG9" i="1"/>
  <c r="AH9" i="1"/>
  <c r="AI9" i="1"/>
  <c r="AJ9" i="1"/>
  <c r="AK9" i="1"/>
  <c r="AG10" i="1"/>
  <c r="AH10" i="1"/>
  <c r="AI10" i="1"/>
  <c r="AJ10" i="1"/>
  <c r="AK10" i="1"/>
  <c r="AF4" i="1"/>
  <c r="AF5" i="1"/>
  <c r="AF6" i="1"/>
  <c r="AF7" i="1"/>
  <c r="AF8" i="1"/>
  <c r="AF9" i="1"/>
  <c r="AF10" i="1"/>
  <c r="AF3" i="1"/>
  <c r="Y3" i="1"/>
  <c r="Z3" i="1"/>
  <c r="AA3" i="1"/>
  <c r="AB3" i="1"/>
  <c r="Y4" i="1"/>
  <c r="Z4" i="1"/>
  <c r="AA4" i="1"/>
  <c r="AB4" i="1"/>
  <c r="Y5" i="1"/>
  <c r="Z5" i="1"/>
  <c r="AA5" i="1"/>
  <c r="AC5" i="1"/>
  <c r="Y6" i="1"/>
  <c r="Z6" i="1"/>
  <c r="AA6" i="1"/>
  <c r="AC6" i="1"/>
  <c r="Y7" i="1"/>
  <c r="Z7" i="1"/>
  <c r="AA7" i="1"/>
  <c r="AC7" i="1"/>
  <c r="Y8" i="1"/>
  <c r="Z8" i="1"/>
  <c r="AA8" i="1"/>
  <c r="AB8" i="1"/>
  <c r="AC8" i="1"/>
  <c r="Y9" i="1"/>
  <c r="Z9" i="1"/>
  <c r="AA9" i="1"/>
  <c r="AB9" i="1"/>
  <c r="AC9" i="1"/>
  <c r="Y10" i="1"/>
  <c r="Z10" i="1"/>
  <c r="AA10" i="1"/>
  <c r="AB10" i="1"/>
  <c r="AC10" i="1"/>
  <c r="X4" i="1"/>
  <c r="X5" i="1"/>
  <c r="X6" i="1"/>
  <c r="X7" i="1"/>
  <c r="X8" i="1"/>
  <c r="X9" i="1"/>
  <c r="X10" i="1"/>
  <c r="X3" i="1"/>
  <c r="R3" i="1"/>
  <c r="S3" i="1"/>
  <c r="T3" i="1"/>
  <c r="U3" i="1"/>
  <c r="V3" i="1"/>
  <c r="R4" i="1"/>
  <c r="S4" i="1"/>
  <c r="T4" i="1"/>
  <c r="U4" i="1"/>
  <c r="V4" i="1"/>
  <c r="R5" i="1"/>
  <c r="S5" i="1"/>
  <c r="T5" i="1"/>
  <c r="U5" i="1"/>
  <c r="V5" i="1"/>
  <c r="R6" i="1"/>
  <c r="S6" i="1"/>
  <c r="T6" i="1"/>
  <c r="U6" i="1"/>
  <c r="V6" i="1"/>
  <c r="R7" i="1"/>
  <c r="S7" i="1"/>
  <c r="T7" i="1"/>
  <c r="U7" i="1"/>
  <c r="V7" i="1"/>
  <c r="R8" i="1"/>
  <c r="S8" i="1"/>
  <c r="T8" i="1"/>
  <c r="U8" i="1"/>
  <c r="V8" i="1"/>
  <c r="R9" i="1"/>
  <c r="S9" i="1"/>
  <c r="T9" i="1"/>
  <c r="U9" i="1"/>
  <c r="V9" i="1"/>
  <c r="R10" i="1"/>
  <c r="S10" i="1"/>
  <c r="T10" i="1"/>
  <c r="U10" i="1"/>
  <c r="V10" i="1"/>
  <c r="Q4" i="1"/>
  <c r="Q5" i="1"/>
  <c r="Q6" i="1"/>
  <c r="Q7" i="1"/>
  <c r="Q8" i="1"/>
  <c r="Q9" i="1"/>
  <c r="Q10" i="1"/>
  <c r="Q3" i="1"/>
  <c r="K3" i="1"/>
  <c r="L3" i="1"/>
  <c r="M3" i="1"/>
  <c r="N3" i="1"/>
  <c r="K4" i="1"/>
  <c r="L4" i="1"/>
  <c r="M4" i="1"/>
  <c r="N4" i="1"/>
  <c r="J5" i="1"/>
  <c r="L5" i="1"/>
  <c r="M5" i="1"/>
  <c r="O5" i="1"/>
  <c r="J6" i="1"/>
  <c r="L6" i="1"/>
  <c r="M6" i="1"/>
  <c r="O6" i="1"/>
  <c r="J7" i="1"/>
  <c r="L7" i="1"/>
  <c r="M7" i="1"/>
  <c r="O7" i="1"/>
  <c r="J8" i="1"/>
  <c r="K8" i="1"/>
  <c r="N8" i="1"/>
  <c r="O8" i="1"/>
  <c r="J9" i="1"/>
  <c r="K9" i="1"/>
  <c r="N9" i="1"/>
  <c r="O9" i="1"/>
  <c r="J10" i="1"/>
  <c r="K10" i="1"/>
  <c r="N10" i="1"/>
  <c r="O10" i="1"/>
  <c r="I5" i="1"/>
  <c r="I6" i="1"/>
  <c r="I8" i="1"/>
  <c r="I9" i="1"/>
  <c r="I10" i="1"/>
  <c r="C3" i="1" l="1"/>
  <c r="D3" i="1"/>
  <c r="E3" i="1"/>
  <c r="F3" i="1"/>
  <c r="G3" i="1"/>
  <c r="C4" i="1"/>
  <c r="D4" i="1"/>
  <c r="E4" i="1"/>
  <c r="F4" i="1"/>
  <c r="G4" i="1"/>
  <c r="C5" i="1"/>
  <c r="E5" i="1"/>
  <c r="F5" i="1"/>
  <c r="G5" i="1"/>
  <c r="C6" i="1"/>
  <c r="D6" i="1"/>
  <c r="E6" i="1"/>
  <c r="F6" i="1"/>
  <c r="G6" i="1"/>
  <c r="C7" i="1"/>
  <c r="D7" i="1"/>
  <c r="E7" i="1"/>
  <c r="F7" i="1"/>
  <c r="G7" i="1"/>
  <c r="C8" i="1"/>
  <c r="D8" i="1"/>
  <c r="E8" i="1"/>
  <c r="F8" i="1"/>
  <c r="G8" i="1"/>
  <c r="D9" i="1"/>
  <c r="E9" i="1"/>
  <c r="F9" i="1"/>
  <c r="G9" i="1"/>
  <c r="C10" i="1"/>
  <c r="D10" i="1"/>
  <c r="E10" i="1"/>
  <c r="F10" i="1"/>
  <c r="G10" i="1"/>
  <c r="B4" i="1"/>
  <c r="B5" i="1"/>
  <c r="B6" i="1"/>
  <c r="B7" i="1"/>
  <c r="B8" i="1"/>
  <c r="B9" i="1"/>
  <c r="B10" i="1"/>
  <c r="B3" i="1"/>
</calcChain>
</file>

<file path=xl/sharedStrings.xml><?xml version="1.0" encoding="utf-8"?>
<sst xmlns="http://schemas.openxmlformats.org/spreadsheetml/2006/main" count="380" uniqueCount="170">
  <si>
    <t>월</t>
  </si>
  <si>
    <t>화</t>
  </si>
  <si>
    <t>수</t>
  </si>
  <si>
    <t>목</t>
  </si>
  <si>
    <t>금</t>
  </si>
  <si>
    <t>1-1</t>
  </si>
  <si>
    <t>1-2</t>
  </si>
  <si>
    <t>2-1</t>
  </si>
  <si>
    <t>2-2</t>
  </si>
  <si>
    <t>3-1</t>
  </si>
  <si>
    <t>3-2</t>
  </si>
  <si>
    <t>3학년
스포츠</t>
  </si>
  <si>
    <t>겸임</t>
  </si>
  <si>
    <t>근무
상황</t>
  </si>
  <si>
    <t>2-1
체육</t>
    <phoneticPr fontId="4" type="noConversion"/>
  </si>
  <si>
    <t>2-2
체육</t>
    <phoneticPr fontId="4" type="noConversion"/>
  </si>
  <si>
    <t>1-1
영어</t>
    <phoneticPr fontId="4" type="noConversion"/>
  </si>
  <si>
    <t>1-2
영어</t>
    <phoneticPr fontId="4" type="noConversion"/>
  </si>
  <si>
    <t>2-1
영어</t>
    <phoneticPr fontId="4" type="noConversion"/>
  </si>
  <si>
    <t>3-1
수학</t>
    <phoneticPr fontId="4" type="noConversion"/>
  </si>
  <si>
    <t>3-2
수학</t>
    <phoneticPr fontId="4" type="noConversion"/>
  </si>
  <si>
    <t>2-3</t>
    <phoneticPr fontId="4" type="noConversion"/>
  </si>
  <si>
    <t>3-3</t>
    <phoneticPr fontId="4" type="noConversion"/>
  </si>
  <si>
    <t>서민성
2-3</t>
    <phoneticPr fontId="4" type="noConversion"/>
  </si>
  <si>
    <t>현규배
1-1</t>
    <phoneticPr fontId="4" type="noConversion"/>
  </si>
  <si>
    <t>이춘옥</t>
    <phoneticPr fontId="4" type="noConversion"/>
  </si>
  <si>
    <t>3-2
기가</t>
    <phoneticPr fontId="4" type="noConversion"/>
  </si>
  <si>
    <t>3-1
기가</t>
    <phoneticPr fontId="4" type="noConversion"/>
  </si>
  <si>
    <t>2-3
기가</t>
    <phoneticPr fontId="4" type="noConversion"/>
  </si>
  <si>
    <t>3-3
기가</t>
    <phoneticPr fontId="4" type="noConversion"/>
  </si>
  <si>
    <t>2-3
정보</t>
    <phoneticPr fontId="4" type="noConversion"/>
  </si>
  <si>
    <t>2-3
체육</t>
    <phoneticPr fontId="4" type="noConversion"/>
  </si>
  <si>
    <t>3-3
체육</t>
    <phoneticPr fontId="4" type="noConversion"/>
  </si>
  <si>
    <t>3-1
체육</t>
    <phoneticPr fontId="4" type="noConversion"/>
  </si>
  <si>
    <t>고태규</t>
    <phoneticPr fontId="4" type="noConversion"/>
  </si>
  <si>
    <t>2-2
기가</t>
    <phoneticPr fontId="4" type="noConversion"/>
  </si>
  <si>
    <t>2-1
기가</t>
    <phoneticPr fontId="4" type="noConversion"/>
  </si>
  <si>
    <t>1-1
기가</t>
    <phoneticPr fontId="4" type="noConversion"/>
  </si>
  <si>
    <t>1-2
기가</t>
    <phoneticPr fontId="4" type="noConversion"/>
  </si>
  <si>
    <t>3-2
체육</t>
    <phoneticPr fontId="4" type="noConversion"/>
  </si>
  <si>
    <t>겸임</t>
    <phoneticPr fontId="4" type="noConversion"/>
  </si>
  <si>
    <t>신차남</t>
    <phoneticPr fontId="4" type="noConversion"/>
  </si>
  <si>
    <t>2-3
영어</t>
    <phoneticPr fontId="4" type="noConversion"/>
  </si>
  <si>
    <t>2-2
영어</t>
    <phoneticPr fontId="4" type="noConversion"/>
  </si>
  <si>
    <t>2-1
정보</t>
    <phoneticPr fontId="4" type="noConversion"/>
  </si>
  <si>
    <t>2-2
정보</t>
    <phoneticPr fontId="4" type="noConversion"/>
  </si>
  <si>
    <t>3-3
영어</t>
    <phoneticPr fontId="4" type="noConversion"/>
  </si>
  <si>
    <t>3-2
영어</t>
    <phoneticPr fontId="4" type="noConversion"/>
  </si>
  <si>
    <t>3-1
영어</t>
    <phoneticPr fontId="4" type="noConversion"/>
  </si>
  <si>
    <t>동아리</t>
    <phoneticPr fontId="4" type="noConversion"/>
  </si>
  <si>
    <t>1-1
체육</t>
    <phoneticPr fontId="4" type="noConversion"/>
  </si>
  <si>
    <t>1-2
체육</t>
    <phoneticPr fontId="4" type="noConversion"/>
  </si>
  <si>
    <t>1-2
수학</t>
    <phoneticPr fontId="4" type="noConversion"/>
  </si>
  <si>
    <t>1-1
수학</t>
    <phoneticPr fontId="4" type="noConversion"/>
  </si>
  <si>
    <t>2학년
스포츠</t>
    <phoneticPr fontId="4" type="noConversion"/>
  </si>
  <si>
    <t>1학년
스포츠</t>
    <phoneticPr fontId="4" type="noConversion"/>
  </si>
  <si>
    <t>스포츠</t>
    <phoneticPr fontId="4" type="noConversion"/>
  </si>
  <si>
    <t>동아리</t>
    <phoneticPr fontId="4" type="noConversion"/>
  </si>
  <si>
    <t>20</t>
    <phoneticPr fontId="4" type="noConversion"/>
  </si>
  <si>
    <t>19</t>
    <phoneticPr fontId="4" type="noConversion"/>
  </si>
  <si>
    <t>18</t>
    <phoneticPr fontId="4" type="noConversion"/>
  </si>
  <si>
    <t>3</t>
    <phoneticPr fontId="4" type="noConversion"/>
  </si>
  <si>
    <t>시수
합계</t>
  </si>
  <si>
    <t>4</t>
    <phoneticPr fontId="4" type="noConversion"/>
  </si>
  <si>
    <t>5</t>
    <phoneticPr fontId="4" type="noConversion"/>
  </si>
  <si>
    <t>14</t>
    <phoneticPr fontId="4" type="noConversion"/>
  </si>
  <si>
    <t>편성시수</t>
    <phoneticPr fontId="4" type="noConversion"/>
  </si>
  <si>
    <t>교사</t>
    <phoneticPr fontId="4" type="noConversion"/>
  </si>
  <si>
    <t>학급</t>
    <phoneticPr fontId="4" type="noConversion"/>
  </si>
  <si>
    <t>기존시수와 다를시 적색 표시</t>
    <phoneticPr fontId="4" type="noConversion"/>
  </si>
  <si>
    <t>이재진</t>
    <phoneticPr fontId="4" type="noConversion"/>
  </si>
  <si>
    <t>조은희
3-2</t>
    <phoneticPr fontId="4" type="noConversion"/>
  </si>
  <si>
    <t>정경선
3-1</t>
    <phoneticPr fontId="4" type="noConversion"/>
  </si>
  <si>
    <t>김지훈
1-2</t>
    <phoneticPr fontId="4" type="noConversion"/>
  </si>
  <si>
    <t>문병일
3-3</t>
    <phoneticPr fontId="4" type="noConversion"/>
  </si>
  <si>
    <t>윤준기</t>
    <phoneticPr fontId="4" type="noConversion"/>
  </si>
  <si>
    <r>
      <t xml:space="preserve">김재현
</t>
    </r>
    <r>
      <rPr>
        <sz val="10"/>
        <color theme="1"/>
        <rFont val="Malgun Gothic"/>
        <family val="3"/>
        <charset val="129"/>
      </rPr>
      <t>체육겸임</t>
    </r>
    <phoneticPr fontId="4" type="noConversion"/>
  </si>
  <si>
    <t>이자윤
2-2</t>
    <phoneticPr fontId="4" type="noConversion"/>
  </si>
  <si>
    <t>유리진
2-1</t>
    <phoneticPr fontId="4" type="noConversion"/>
  </si>
  <si>
    <t>이예령</t>
    <phoneticPr fontId="4" type="noConversion"/>
  </si>
  <si>
    <t>영어강사</t>
    <phoneticPr fontId="4" type="noConversion"/>
  </si>
  <si>
    <t>추정원</t>
    <phoneticPr fontId="4" type="noConversion"/>
  </si>
  <si>
    <r>
      <rPr>
        <sz val="11"/>
        <color theme="1"/>
        <rFont val="Malgun Gothic"/>
        <family val="3"/>
        <charset val="129"/>
      </rPr>
      <t>류은재</t>
    </r>
    <r>
      <rPr>
        <sz val="10"/>
        <color theme="1"/>
        <rFont val="Malgun Gothic"/>
        <family val="3"/>
        <charset val="129"/>
      </rPr>
      <t xml:space="preserve">
체육강사</t>
    </r>
    <phoneticPr fontId="4" type="noConversion"/>
  </si>
  <si>
    <r>
      <t xml:space="preserve">정혜연
</t>
    </r>
    <r>
      <rPr>
        <sz val="10"/>
        <color theme="1"/>
        <rFont val="Malgun Gothic"/>
        <family val="3"/>
        <charset val="129"/>
      </rPr>
      <t>정보겸임</t>
    </r>
    <phoneticPr fontId="4" type="noConversion"/>
  </si>
  <si>
    <r>
      <t xml:space="preserve">조수영
</t>
    </r>
    <r>
      <rPr>
        <sz val="10"/>
        <color theme="1"/>
        <rFont val="Malgun Gothic"/>
        <family val="3"/>
        <charset val="129"/>
      </rPr>
      <t>정보겸임</t>
    </r>
    <phoneticPr fontId="4" type="noConversion"/>
  </si>
  <si>
    <t>17</t>
    <phoneticPr fontId="4" type="noConversion"/>
  </si>
  <si>
    <t>12</t>
    <phoneticPr fontId="4" type="noConversion"/>
  </si>
  <si>
    <t>금1,2,3 정보 겸임</t>
    <phoneticPr fontId="4" type="noConversion"/>
  </si>
  <si>
    <t>수2,3,4 체육 겸임
수1,2,3 정보 겸임
겸임 출장(2,3,4): 이자윤
겸임 출장(2,3): 이예령</t>
    <phoneticPr fontId="4" type="noConversion"/>
  </si>
  <si>
    <t>1학년 스포츠(1): 고태규,문병일,이자윤
1학년 스포츠(2): 고태규,문병일,이자윤
2학년 스포츠: 유리진,고태규,문병일
3학년 스포츠: 고태규,문병일,이예령</t>
    <phoneticPr fontId="4" type="noConversion"/>
  </si>
  <si>
    <t>동아리: 고태규,문병일,이자윤
           이예령,신차남,추정원</t>
    <phoneticPr fontId="4" type="noConversion"/>
  </si>
  <si>
    <t>1-1
자치</t>
    <phoneticPr fontId="4" type="noConversion"/>
  </si>
  <si>
    <t>1-2
자치</t>
    <phoneticPr fontId="4" type="noConversion"/>
  </si>
  <si>
    <t>정세현</t>
    <phoneticPr fontId="4" type="noConversion"/>
  </si>
  <si>
    <t>1-1
주수</t>
    <phoneticPr fontId="4" type="noConversion"/>
  </si>
  <si>
    <t>1-2
주수</t>
    <phoneticPr fontId="4" type="noConversion"/>
  </si>
  <si>
    <t>1-2
주과</t>
    <phoneticPr fontId="4" type="noConversion"/>
  </si>
  <si>
    <t>1-1
주과</t>
    <phoneticPr fontId="4" type="noConversion"/>
  </si>
  <si>
    <t>1-2
주국</t>
    <phoneticPr fontId="4" type="noConversion"/>
  </si>
  <si>
    <t>1-1
주국</t>
    <phoneticPr fontId="4" type="noConversion"/>
  </si>
  <si>
    <t>1-2
진탐B</t>
    <phoneticPr fontId="4" type="noConversion"/>
  </si>
  <si>
    <t>1-1
진탐B</t>
    <phoneticPr fontId="4" type="noConversion"/>
  </si>
  <si>
    <t>1-2
진탐A</t>
    <phoneticPr fontId="4" type="noConversion"/>
  </si>
  <si>
    <t>1-1
진탐A</t>
    <phoneticPr fontId="4" type="noConversion"/>
  </si>
  <si>
    <t>1-1
국어</t>
    <phoneticPr fontId="4" type="noConversion"/>
  </si>
  <si>
    <t>1-2
국어</t>
    <phoneticPr fontId="4" type="noConversion"/>
  </si>
  <si>
    <t>2-1
국어</t>
    <phoneticPr fontId="4" type="noConversion"/>
  </si>
  <si>
    <t>2-2
국어</t>
    <phoneticPr fontId="4" type="noConversion"/>
  </si>
  <si>
    <t>2-3
국어</t>
    <phoneticPr fontId="4" type="noConversion"/>
  </si>
  <si>
    <t>3-2
국어</t>
    <phoneticPr fontId="4" type="noConversion"/>
  </si>
  <si>
    <t>3-1
국어</t>
    <phoneticPr fontId="4" type="noConversion"/>
  </si>
  <si>
    <t>3-3
국어</t>
    <phoneticPr fontId="4" type="noConversion"/>
  </si>
  <si>
    <t>3-3
한문</t>
    <phoneticPr fontId="4" type="noConversion"/>
  </si>
  <si>
    <t>3-1
한문</t>
    <phoneticPr fontId="4" type="noConversion"/>
  </si>
  <si>
    <t>3-2
한문</t>
    <phoneticPr fontId="4" type="noConversion"/>
  </si>
  <si>
    <t>2-1
수학</t>
    <phoneticPr fontId="4" type="noConversion"/>
  </si>
  <si>
    <t>2-2
수학</t>
    <phoneticPr fontId="4" type="noConversion"/>
  </si>
  <si>
    <t>2-3
수학</t>
    <phoneticPr fontId="4" type="noConversion"/>
  </si>
  <si>
    <t>3-3
수학</t>
    <phoneticPr fontId="4" type="noConversion"/>
  </si>
  <si>
    <t>1-1
과학</t>
    <phoneticPr fontId="4" type="noConversion"/>
  </si>
  <si>
    <t>1-2
과학</t>
    <phoneticPr fontId="4" type="noConversion"/>
  </si>
  <si>
    <t>2-1
과학</t>
    <phoneticPr fontId="4" type="noConversion"/>
  </si>
  <si>
    <t>2-2
과학</t>
    <phoneticPr fontId="4" type="noConversion"/>
  </si>
  <si>
    <t>2-3
과학</t>
    <phoneticPr fontId="4" type="noConversion"/>
  </si>
  <si>
    <t>3-1
과학</t>
    <phoneticPr fontId="4" type="noConversion"/>
  </si>
  <si>
    <t>3-2
과학</t>
    <phoneticPr fontId="4" type="noConversion"/>
  </si>
  <si>
    <t>3-3
과학</t>
    <phoneticPr fontId="4" type="noConversion"/>
  </si>
  <si>
    <t>1-2
음악</t>
    <phoneticPr fontId="4" type="noConversion"/>
  </si>
  <si>
    <t>1-1
음악</t>
    <phoneticPr fontId="4" type="noConversion"/>
  </si>
  <si>
    <t>2-1
음악</t>
    <phoneticPr fontId="4" type="noConversion"/>
  </si>
  <si>
    <t>2-2
음악</t>
    <phoneticPr fontId="4" type="noConversion"/>
  </si>
  <si>
    <t>2-3
음악</t>
    <phoneticPr fontId="4" type="noConversion"/>
  </si>
  <si>
    <t>3-1
음악</t>
    <phoneticPr fontId="4" type="noConversion"/>
  </si>
  <si>
    <t>3-3
음악</t>
    <phoneticPr fontId="4" type="noConversion"/>
  </si>
  <si>
    <t>3-2
음악</t>
    <phoneticPr fontId="4" type="noConversion"/>
  </si>
  <si>
    <t>3-3
미술</t>
    <phoneticPr fontId="4" type="noConversion"/>
  </si>
  <si>
    <t>3-2
미술</t>
    <phoneticPr fontId="4" type="noConversion"/>
  </si>
  <si>
    <t>3-1
미술</t>
    <phoneticPr fontId="4" type="noConversion"/>
  </si>
  <si>
    <t>2-3
미술</t>
    <phoneticPr fontId="4" type="noConversion"/>
  </si>
  <si>
    <t>24</t>
    <phoneticPr fontId="4" type="noConversion"/>
  </si>
  <si>
    <t>0</t>
    <phoneticPr fontId="4" type="noConversion"/>
  </si>
  <si>
    <t>1-1
사회</t>
  </si>
  <si>
    <t>1-2
사회</t>
  </si>
  <si>
    <t>3-1
사회</t>
    <phoneticPr fontId="4" type="noConversion"/>
  </si>
  <si>
    <t>3-2
사회</t>
    <phoneticPr fontId="4" type="noConversion"/>
  </si>
  <si>
    <t>3-3
사회</t>
    <phoneticPr fontId="4" type="noConversion"/>
  </si>
  <si>
    <t>2-2
미술</t>
    <phoneticPr fontId="4" type="noConversion"/>
  </si>
  <si>
    <t>2-1
미술</t>
    <phoneticPr fontId="4" type="noConversion"/>
  </si>
  <si>
    <t>1-1
미술</t>
    <phoneticPr fontId="4" type="noConversion"/>
  </si>
  <si>
    <t>1-2
미술</t>
    <phoneticPr fontId="4" type="noConversion"/>
  </si>
  <si>
    <t>2-1
역사</t>
    <phoneticPr fontId="4" type="noConversion"/>
  </si>
  <si>
    <t>2-2
역사</t>
    <phoneticPr fontId="4" type="noConversion"/>
  </si>
  <si>
    <t>2-3
역사</t>
    <phoneticPr fontId="4" type="noConversion"/>
  </si>
  <si>
    <t>3-3
역사</t>
    <phoneticPr fontId="4" type="noConversion"/>
  </si>
  <si>
    <t>3-2
역사</t>
    <phoneticPr fontId="4" type="noConversion"/>
  </si>
  <si>
    <t>3-1
역사</t>
    <phoneticPr fontId="4" type="noConversion"/>
  </si>
  <si>
    <t>2-3
도덕</t>
    <phoneticPr fontId="4" type="noConversion"/>
  </si>
  <si>
    <t>2-2
도덕</t>
    <phoneticPr fontId="4" type="noConversion"/>
  </si>
  <si>
    <t>2-1
도덕</t>
    <phoneticPr fontId="4" type="noConversion"/>
  </si>
  <si>
    <t>1-2
도덕</t>
    <phoneticPr fontId="4" type="noConversion"/>
  </si>
  <si>
    <t>1-1
도덕</t>
    <phoneticPr fontId="4" type="noConversion"/>
  </si>
  <si>
    <t>3-3
진직</t>
    <phoneticPr fontId="4" type="noConversion"/>
  </si>
  <si>
    <t>3-2
진직</t>
    <phoneticPr fontId="4" type="noConversion"/>
  </si>
  <si>
    <t>3-1
진직</t>
    <phoneticPr fontId="4" type="noConversion"/>
  </si>
  <si>
    <t>2-3
진직</t>
    <phoneticPr fontId="4" type="noConversion"/>
  </si>
  <si>
    <t>2-1
진직</t>
    <phoneticPr fontId="4" type="noConversion"/>
  </si>
  <si>
    <t>2-2
진직</t>
    <phoneticPr fontId="4" type="noConversion"/>
  </si>
  <si>
    <t>1-1
진직</t>
    <phoneticPr fontId="4" type="noConversion"/>
  </si>
  <si>
    <t>1-2
진직</t>
    <phoneticPr fontId="4" type="noConversion"/>
  </si>
  <si>
    <t>월2,3,4 체육 무용 강사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</si>
</sst>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  <family val="2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맑은 고딕"/>
      <family val="3"/>
      <charset val="129"/>
    </font>
    <font>
      <sz val="11"/>
      <color rgb="FFFF0000"/>
      <name val="Malgun Gothic"/>
      <family val="3"/>
      <charset val="129"/>
    </font>
    <font>
      <sz val="11"/>
      <color rgb="FF00B0F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theme="0"/>
      <name val="Malgun Gothic"/>
      <family val="3"/>
      <charset val="129"/>
    </font>
    <font>
      <sz val="9"/>
      <color theme="1"/>
      <name val="맑은 고딕"/>
      <family val="3"/>
      <charset val="129"/>
    </font>
    <font>
      <sz val="9"/>
      <color theme="1"/>
      <name val="Calibri"/>
      <family val="2"/>
      <scheme val="minor"/>
    </font>
    <font>
      <sz val="11"/>
      <name val="Malgun Gothi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rgb="FF92D05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 applyAlignment="1">
      <alignment vertical="center"/>
    </xf>
    <xf numFmtId="49" fontId="1" fillId="4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 wrapText="1"/>
    </xf>
    <xf numFmtId="0" fontId="0" fillId="8" borderId="0" xfId="0" applyFill="1" applyAlignment="1">
      <alignment vertical="center"/>
    </xf>
    <xf numFmtId="49" fontId="1" fillId="8" borderId="1" xfId="0" applyNumberFormat="1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49" fontId="7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" fillId="8" borderId="1" xfId="0" applyFont="1" applyFill="1" applyBorder="1" applyAlignment="1">
      <alignment horizontal="center" vertical="center" wrapText="1"/>
    </xf>
    <xf numFmtId="49" fontId="1" fillId="8" borderId="11" xfId="0" applyNumberFormat="1" applyFont="1" applyFill="1" applyBorder="1" applyAlignment="1">
      <alignment horizontal="center" vertical="center"/>
    </xf>
    <xf numFmtId="49" fontId="1" fillId="8" borderId="13" xfId="0" applyNumberFormat="1" applyFont="1" applyFill="1" applyBorder="1" applyAlignment="1">
      <alignment horizontal="center" vertical="center"/>
    </xf>
    <xf numFmtId="49" fontId="1" fillId="8" borderId="10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9" fillId="7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0" fillId="10" borderId="1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textRotation="255"/>
    </xf>
    <xf numFmtId="0" fontId="12" fillId="0" borderId="4" xfId="0" applyFont="1" applyBorder="1" applyAlignment="1">
      <alignment horizontal="center" vertical="center" textRotation="255"/>
    </xf>
    <xf numFmtId="49" fontId="13" fillId="3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A978"/>
  <sheetViews>
    <sheetView tabSelected="1" topLeftCell="A17" zoomScale="50" zoomScaleNormal="50" workbookViewId="0">
      <pane xSplit="1" topLeftCell="B1" activePane="topRight" state="frozen"/>
      <selection pane="topRight" activeCell="B35" sqref="B35:G35"/>
    </sheetView>
  </sheetViews>
  <sheetFormatPr defaultColWidth="14.453125" defaultRowHeight="15" customHeight="1"/>
  <cols>
    <col min="1" max="1" width="8.26953125" customWidth="1"/>
    <col min="2" max="7" width="7.7265625" customWidth="1"/>
    <col min="8" max="8" width="0.453125" style="11" customWidth="1"/>
    <col min="9" max="15" width="7.7265625" customWidth="1"/>
    <col min="16" max="16" width="0.453125" style="11" customWidth="1"/>
    <col min="17" max="22" width="7.7265625" customWidth="1"/>
    <col min="23" max="23" width="0.453125" style="11" customWidth="1"/>
    <col min="24" max="30" width="7.7265625" customWidth="1"/>
    <col min="31" max="31" width="0.453125" style="11" customWidth="1"/>
    <col min="32" max="37" width="7.7265625" customWidth="1"/>
    <col min="38" max="38" width="0.453125" style="11" customWidth="1"/>
    <col min="39" max="39" width="9.26953125" customWidth="1"/>
    <col min="40" max="40" width="3.81640625" customWidth="1"/>
    <col min="41" max="42" width="4.81640625" customWidth="1"/>
  </cols>
  <sheetData>
    <row r="1" spans="1:42" ht="16.5" customHeight="1">
      <c r="A1" s="43"/>
      <c r="B1" s="38" t="s">
        <v>0</v>
      </c>
      <c r="C1" s="37"/>
      <c r="D1" s="37"/>
      <c r="E1" s="37"/>
      <c r="F1" s="37"/>
      <c r="G1" s="37"/>
      <c r="H1" s="12"/>
      <c r="I1" s="38" t="s">
        <v>1</v>
      </c>
      <c r="J1" s="38"/>
      <c r="K1" s="38"/>
      <c r="L1" s="38"/>
      <c r="M1" s="38"/>
      <c r="N1" s="38"/>
      <c r="O1" s="38"/>
      <c r="P1" s="13"/>
      <c r="Q1" s="38" t="s">
        <v>2</v>
      </c>
      <c r="R1" s="37"/>
      <c r="S1" s="37"/>
      <c r="T1" s="37"/>
      <c r="U1" s="37"/>
      <c r="V1" s="37"/>
      <c r="W1" s="13"/>
      <c r="X1" s="38" t="s">
        <v>3</v>
      </c>
      <c r="Y1" s="38"/>
      <c r="Z1" s="38"/>
      <c r="AA1" s="38"/>
      <c r="AB1" s="38"/>
      <c r="AC1" s="38"/>
      <c r="AD1" s="38"/>
      <c r="AE1" s="13"/>
      <c r="AF1" s="41" t="s">
        <v>4</v>
      </c>
      <c r="AG1" s="37"/>
      <c r="AH1" s="37"/>
      <c r="AI1" s="37"/>
      <c r="AJ1" s="37"/>
      <c r="AK1" s="37"/>
      <c r="AL1" s="13"/>
      <c r="AM1" s="39" t="s">
        <v>68</v>
      </c>
      <c r="AN1" s="57" t="s">
        <v>69</v>
      </c>
      <c r="AO1" s="48"/>
      <c r="AP1" s="49"/>
    </row>
    <row r="2" spans="1:42" ht="16.5" customHeight="1">
      <c r="A2" s="37"/>
      <c r="B2" s="26">
        <v>1</v>
      </c>
      <c r="C2" s="26">
        <v>2</v>
      </c>
      <c r="D2" s="26">
        <v>3</v>
      </c>
      <c r="E2" s="26">
        <v>4</v>
      </c>
      <c r="F2" s="26">
        <v>5</v>
      </c>
      <c r="G2" s="26">
        <v>6</v>
      </c>
      <c r="H2" s="12"/>
      <c r="I2" s="26">
        <v>1</v>
      </c>
      <c r="J2" s="26">
        <v>2</v>
      </c>
      <c r="K2" s="26">
        <v>3</v>
      </c>
      <c r="L2" s="26">
        <v>4</v>
      </c>
      <c r="M2" s="26">
        <v>5</v>
      </c>
      <c r="N2" s="26">
        <v>6</v>
      </c>
      <c r="O2" s="26">
        <v>7</v>
      </c>
      <c r="P2" s="13"/>
      <c r="Q2" s="26">
        <v>1</v>
      </c>
      <c r="R2" s="26">
        <v>2</v>
      </c>
      <c r="S2" s="26">
        <v>3</v>
      </c>
      <c r="T2" s="26">
        <v>4</v>
      </c>
      <c r="U2" s="26">
        <v>5</v>
      </c>
      <c r="V2" s="26">
        <v>6</v>
      </c>
      <c r="W2" s="13"/>
      <c r="X2" s="26">
        <v>1</v>
      </c>
      <c r="Y2" s="26">
        <v>2</v>
      </c>
      <c r="Z2" s="26">
        <v>3</v>
      </c>
      <c r="AA2" s="26">
        <v>4</v>
      </c>
      <c r="AB2" s="26">
        <v>5</v>
      </c>
      <c r="AC2" s="26">
        <v>6</v>
      </c>
      <c r="AD2" s="26">
        <v>7</v>
      </c>
      <c r="AE2" s="13"/>
      <c r="AF2" s="26">
        <v>1</v>
      </c>
      <c r="AG2" s="26">
        <v>2</v>
      </c>
      <c r="AH2" s="26">
        <v>3</v>
      </c>
      <c r="AI2" s="26">
        <v>4</v>
      </c>
      <c r="AJ2" s="26">
        <v>5</v>
      </c>
      <c r="AK2" s="26">
        <v>6</v>
      </c>
      <c r="AL2" s="13"/>
      <c r="AM2" s="40"/>
      <c r="AN2" s="58"/>
      <c r="AO2" s="50"/>
      <c r="AP2" s="51"/>
    </row>
    <row r="3" spans="1:42" ht="16.5" customHeight="1">
      <c r="A3" s="25" t="s">
        <v>5</v>
      </c>
      <c r="B3" s="7" t="str">
        <f t="shared" ref="B3:G10" si="0">IFERROR(
    TRIM(
        SUBSTITUTE(
            INDEX($B$14:$G$44,
                  MATCH($A3&amp;"*",
                        INDEX($B$14:$G$44,,COLUMN()-COLUMN($B$3)+1),
                        0),
                  COLUMN()-COLUMN($B$3)+1),
            $A3 &amp; CHAR(10),
            "")
    ),
"")</f>
        <v>자치</v>
      </c>
      <c r="C3" s="7" t="str">
        <f t="shared" si="0"/>
        <v>기가</v>
      </c>
      <c r="D3" s="7" t="str">
        <f t="shared" si="0"/>
        <v>기가</v>
      </c>
      <c r="E3" s="7" t="str">
        <f t="shared" si="0"/>
        <v>국어</v>
      </c>
      <c r="F3" s="7" t="str">
        <f t="shared" si="0"/>
        <v>영어</v>
      </c>
      <c r="G3" s="7" t="str">
        <f t="shared" si="0"/>
        <v>체육</v>
      </c>
      <c r="H3" s="12"/>
      <c r="I3" s="7" t="s">
        <v>56</v>
      </c>
      <c r="J3" s="7" t="s">
        <v>56</v>
      </c>
      <c r="K3" s="7" t="str">
        <f t="shared" ref="K3:O4" si="1">IFERROR(
    TRIM(
        SUBSTITUTE(
            INDEX($I$14:$O$44,
                  MATCH($A3&amp;"*",
                        INDEX($I$14:$O$44,,COLUMN()-COLUMN($I$3)+1),
                        0),
                  COLUMN()-COLUMN($I$3)+1),
            $A3 &amp; CHAR(10),
            "")
    ),
"")</f>
        <v>국어</v>
      </c>
      <c r="L3" s="7" t="str">
        <f t="shared" si="1"/>
        <v>수학</v>
      </c>
      <c r="M3" s="7" t="str">
        <f t="shared" si="1"/>
        <v>과학</v>
      </c>
      <c r="N3" s="7" t="str">
        <f t="shared" si="1"/>
        <v>미술</v>
      </c>
      <c r="O3" s="7" t="str">
        <f t="shared" si="1"/>
        <v>영어</v>
      </c>
      <c r="P3" s="13"/>
      <c r="Q3" s="7" t="str">
        <f t="shared" ref="Q3:V10" si="2">IFERROR(
    TRIM(
        SUBSTITUTE(
            INDEX($Q$14:$V$44,
                  MATCH($A3&amp;"*",
                        INDEX($Q$14:$V$44,,COLUMN()-COLUMN($Q$3)+1),
                        0),
                  COLUMN()-COLUMN($Q$3)+1),
            $A3 &amp; CHAR(10),
            "")
    ),
"")</f>
        <v>진직</v>
      </c>
      <c r="R3" s="7" t="str">
        <f t="shared" si="2"/>
        <v>사회</v>
      </c>
      <c r="S3" s="7" t="str">
        <f t="shared" si="2"/>
        <v>수학</v>
      </c>
      <c r="T3" s="7" t="str">
        <f t="shared" si="2"/>
        <v>진탐A</v>
      </c>
      <c r="U3" s="7" t="str">
        <f t="shared" si="2"/>
        <v>과학</v>
      </c>
      <c r="V3" s="7" t="str">
        <f t="shared" si="2"/>
        <v>도덕</v>
      </c>
      <c r="W3" s="13"/>
      <c r="X3" s="7" t="str">
        <f t="shared" ref="X3:AD4" si="3">IFERROR(
    TRIM(
        SUBSTITUTE(
            INDEX($X$14:$AD$44,
                  MATCH($A3&amp;"*",
                        INDEX($X$14:$AD$44,,COLUMN()-COLUMN($X$3)+1),
                        0),
                  COLUMN()-COLUMN($X$3)+1),
            $A3 &amp; CHAR(10),
            "")
    ),
"")</f>
        <v>과학</v>
      </c>
      <c r="Y3" s="7" t="str">
        <f t="shared" si="3"/>
        <v>주과</v>
      </c>
      <c r="Z3" s="7" t="str">
        <f t="shared" si="3"/>
        <v>주국</v>
      </c>
      <c r="AA3" s="7" t="str">
        <f t="shared" si="3"/>
        <v>주수</v>
      </c>
      <c r="AB3" s="7" t="str">
        <f t="shared" si="3"/>
        <v>체육</v>
      </c>
      <c r="AC3" s="7" t="str">
        <f t="shared" si="3"/>
        <v>수학</v>
      </c>
      <c r="AD3" s="7" t="str">
        <f t="shared" si="3"/>
        <v>사회</v>
      </c>
      <c r="AE3" s="13"/>
      <c r="AF3" s="7" t="str">
        <f t="shared" ref="AF3:AK10" si="4">IFERROR(
    TRIM(
        SUBSTITUTE(
            INDEX($AF$14:$AK$44,
                  MATCH($A3&amp;"*",
                        INDEX($AF$14:$AK$44,,COLUMN()-COLUMN($AF$3)+1),
                        0),
                  COLUMN()-COLUMN($AF$3)+1),
            $A3 &amp; CHAR(10),
            "")
    ),
"")</f>
        <v>미술</v>
      </c>
      <c r="AG3" s="7" t="str">
        <f t="shared" si="4"/>
        <v>국어</v>
      </c>
      <c r="AH3" s="7" t="str">
        <f t="shared" si="4"/>
        <v>음악</v>
      </c>
      <c r="AI3" s="7" t="str">
        <f t="shared" si="4"/>
        <v>도덕</v>
      </c>
      <c r="AJ3" s="7" t="str">
        <f t="shared" si="4"/>
        <v>영어</v>
      </c>
      <c r="AK3" s="7" t="str">
        <f t="shared" si="4"/>
        <v>진탐B</v>
      </c>
      <c r="AL3" s="13"/>
      <c r="AM3" s="16" t="s">
        <v>5</v>
      </c>
      <c r="AN3" s="58"/>
      <c r="AO3" s="50"/>
      <c r="AP3" s="51"/>
    </row>
    <row r="4" spans="1:42" ht="16.5" customHeight="1">
      <c r="A4" s="25" t="s">
        <v>6</v>
      </c>
      <c r="B4" s="7" t="str">
        <f t="shared" si="0"/>
        <v>자치</v>
      </c>
      <c r="C4" s="7" t="str">
        <f t="shared" si="0"/>
        <v>수학</v>
      </c>
      <c r="D4" s="7" t="str">
        <f t="shared" si="0"/>
        <v>국어</v>
      </c>
      <c r="E4" s="7" t="str">
        <f t="shared" si="0"/>
        <v>미술</v>
      </c>
      <c r="F4" s="7" t="str">
        <f t="shared" si="0"/>
        <v>체육</v>
      </c>
      <c r="G4" s="7" t="str">
        <f t="shared" si="0"/>
        <v>음악</v>
      </c>
      <c r="H4" s="12"/>
      <c r="I4" s="7" t="s">
        <v>56</v>
      </c>
      <c r="J4" s="7" t="s">
        <v>56</v>
      </c>
      <c r="K4" s="7" t="str">
        <f t="shared" si="1"/>
        <v>기가</v>
      </c>
      <c r="L4" s="7" t="str">
        <f t="shared" si="1"/>
        <v>기가</v>
      </c>
      <c r="M4" s="7" t="str">
        <f t="shared" si="1"/>
        <v>도덕</v>
      </c>
      <c r="N4" s="7" t="str">
        <f t="shared" si="1"/>
        <v>영어</v>
      </c>
      <c r="O4" s="7" t="str">
        <f t="shared" si="1"/>
        <v>수학</v>
      </c>
      <c r="P4" s="13"/>
      <c r="Q4" s="7" t="str">
        <f t="shared" si="2"/>
        <v>과학</v>
      </c>
      <c r="R4" s="7" t="str">
        <f t="shared" si="2"/>
        <v>사회</v>
      </c>
      <c r="S4" s="7" t="str">
        <f t="shared" si="2"/>
        <v>진탐A</v>
      </c>
      <c r="T4" s="7" t="str">
        <f t="shared" si="2"/>
        <v>도덕</v>
      </c>
      <c r="U4" s="7" t="str">
        <f t="shared" si="2"/>
        <v>진직</v>
      </c>
      <c r="V4" s="7" t="str">
        <f t="shared" si="2"/>
        <v>영어</v>
      </c>
      <c r="W4" s="13"/>
      <c r="X4" s="7" t="str">
        <f t="shared" si="3"/>
        <v>영어</v>
      </c>
      <c r="Y4" s="7" t="str">
        <f t="shared" si="3"/>
        <v>주국</v>
      </c>
      <c r="Z4" s="7" t="str">
        <f t="shared" si="3"/>
        <v>주수</v>
      </c>
      <c r="AA4" s="7" t="str">
        <f t="shared" si="3"/>
        <v>주과</v>
      </c>
      <c r="AB4" s="7" t="str">
        <f t="shared" si="3"/>
        <v>국어</v>
      </c>
      <c r="AC4" s="7" t="str">
        <f t="shared" si="3"/>
        <v>체육</v>
      </c>
      <c r="AD4" s="7" t="str">
        <f t="shared" si="3"/>
        <v>수학</v>
      </c>
      <c r="AE4" s="13"/>
      <c r="AF4" s="7" t="str">
        <f t="shared" si="4"/>
        <v>국어</v>
      </c>
      <c r="AG4" s="7" t="str">
        <f t="shared" si="4"/>
        <v>과학</v>
      </c>
      <c r="AH4" s="7" t="str">
        <f t="shared" si="4"/>
        <v>사회</v>
      </c>
      <c r="AI4" s="7" t="str">
        <f t="shared" si="4"/>
        <v>미술</v>
      </c>
      <c r="AJ4" s="7" t="str">
        <f t="shared" si="4"/>
        <v>진탐B</v>
      </c>
      <c r="AK4" s="7" t="str">
        <f t="shared" si="4"/>
        <v>과학</v>
      </c>
      <c r="AL4" s="13"/>
      <c r="AM4" s="16" t="s">
        <v>6</v>
      </c>
      <c r="AN4" s="58"/>
      <c r="AO4" s="50"/>
      <c r="AP4" s="51"/>
    </row>
    <row r="5" spans="1:42" ht="16.5" customHeight="1">
      <c r="A5" s="25" t="s">
        <v>7</v>
      </c>
      <c r="B5" s="8" t="str">
        <f t="shared" si="0"/>
        <v>영어</v>
      </c>
      <c r="C5" s="8" t="str">
        <f t="shared" si="0"/>
        <v>체육</v>
      </c>
      <c r="D5" s="8" t="str">
        <f t="shared" si="0"/>
        <v>음악</v>
      </c>
      <c r="E5" s="8" t="str">
        <f t="shared" si="0"/>
        <v>과학</v>
      </c>
      <c r="F5" s="8" t="str">
        <f t="shared" si="0"/>
        <v>역사</v>
      </c>
      <c r="G5" s="8" t="str">
        <f t="shared" si="0"/>
        <v>수학</v>
      </c>
      <c r="H5" s="12"/>
      <c r="I5" s="8" t="str">
        <f t="shared" ref="I5:J10" si="5">IFERROR(
    TRIM(
        SUBSTITUTE(
            INDEX($I$14:$O$44,
                  MATCH($A5&amp;"*",
                        INDEX($I$14:$O$44,,COLUMN()-COLUMN($I$3)+1),
                        0),
                  COLUMN()-COLUMN($I$3)+1),
            $A5 &amp; CHAR(10),
            "")
    ),
"")</f>
        <v>기가</v>
      </c>
      <c r="J5" s="8" t="str">
        <f t="shared" si="5"/>
        <v>기가</v>
      </c>
      <c r="K5" s="8" t="s">
        <v>56</v>
      </c>
      <c r="L5" s="8" t="str">
        <f t="shared" ref="L5:O7" si="6">IFERROR(
    TRIM(
        SUBSTITUTE(
            INDEX($I$14:$O$44,
                  MATCH($A5&amp;"*",
                        INDEX($I$14:$O$44,,COLUMN()-COLUMN($I$3)+1),
                        0),
                  COLUMN()-COLUMN($I$3)+1),
            $A5 &amp; CHAR(10),
            "")
    ),
"")</f>
        <v>역사</v>
      </c>
      <c r="M5" s="8" t="str">
        <f t="shared" si="6"/>
        <v>체육</v>
      </c>
      <c r="N5" s="8" t="str">
        <f t="shared" si="6"/>
        <v>국어</v>
      </c>
      <c r="O5" s="8" t="str">
        <f t="shared" si="6"/>
        <v>미술</v>
      </c>
      <c r="P5" s="13"/>
      <c r="Q5" s="8" t="str">
        <f t="shared" si="2"/>
        <v>정보</v>
      </c>
      <c r="R5" s="8" t="str">
        <f t="shared" si="2"/>
        <v>국어</v>
      </c>
      <c r="S5" s="8" t="str">
        <f t="shared" si="2"/>
        <v>영어</v>
      </c>
      <c r="T5" s="8" t="str">
        <f t="shared" si="2"/>
        <v>수학</v>
      </c>
      <c r="U5" s="8" t="str">
        <f t="shared" si="2"/>
        <v>체육</v>
      </c>
      <c r="V5" s="8" t="str">
        <f t="shared" si="2"/>
        <v>과학</v>
      </c>
      <c r="W5" s="13"/>
      <c r="X5" s="8" t="str">
        <f t="shared" ref="X5:AC10" si="7">IFERROR(
    TRIM(
        SUBSTITUTE(
            INDEX($X$14:$AD$44,
                  MATCH($A5&amp;"*",
                        INDEX($X$14:$AD$44,,COLUMN()-COLUMN($X$3)+1),
                        0),
                  COLUMN()-COLUMN($X$3)+1),
            $A5 &amp; CHAR(10),
            "")
    ),
"")</f>
        <v>국어</v>
      </c>
      <c r="Y5" s="8" t="str">
        <f t="shared" si="7"/>
        <v>미술</v>
      </c>
      <c r="Z5" s="8" t="str">
        <f t="shared" si="7"/>
        <v>수학</v>
      </c>
      <c r="AA5" s="8" t="str">
        <f t="shared" si="7"/>
        <v>역사</v>
      </c>
      <c r="AB5" s="8" t="str">
        <f t="shared" si="7"/>
        <v>도덕</v>
      </c>
      <c r="AC5" s="8" t="str">
        <f t="shared" si="7"/>
        <v>진직</v>
      </c>
      <c r="AD5" s="8" t="s">
        <v>57</v>
      </c>
      <c r="AE5" s="13"/>
      <c r="AF5" s="8" t="str">
        <f t="shared" si="4"/>
        <v>정보</v>
      </c>
      <c r="AG5" s="8" t="str">
        <f t="shared" si="4"/>
        <v>영어</v>
      </c>
      <c r="AH5" s="8" t="str">
        <f t="shared" si="4"/>
        <v>국어</v>
      </c>
      <c r="AI5" s="8" t="str">
        <f t="shared" si="4"/>
        <v>과학</v>
      </c>
      <c r="AJ5" s="8" t="str">
        <f t="shared" si="4"/>
        <v>도덕</v>
      </c>
      <c r="AK5" s="8" t="str">
        <f t="shared" si="4"/>
        <v>수학</v>
      </c>
      <c r="AL5" s="13"/>
      <c r="AM5" s="16" t="s">
        <v>7</v>
      </c>
      <c r="AN5" s="58"/>
      <c r="AO5" s="50"/>
      <c r="AP5" s="51"/>
    </row>
    <row r="6" spans="1:42" ht="16.5" customHeight="1">
      <c r="A6" s="25" t="s">
        <v>8</v>
      </c>
      <c r="B6" s="8" t="str">
        <f t="shared" si="0"/>
        <v>미술</v>
      </c>
      <c r="C6" s="8" t="str">
        <f t="shared" si="0"/>
        <v>과학</v>
      </c>
      <c r="D6" s="8" t="str">
        <f t="shared" si="0"/>
        <v>체육</v>
      </c>
      <c r="E6" s="8" t="str">
        <f t="shared" si="0"/>
        <v>영어</v>
      </c>
      <c r="F6" s="8" t="str">
        <f t="shared" si="0"/>
        <v>수학</v>
      </c>
      <c r="G6" s="8" t="str">
        <f t="shared" si="0"/>
        <v>국어</v>
      </c>
      <c r="H6" s="12"/>
      <c r="I6" s="8" t="str">
        <f t="shared" si="5"/>
        <v>도덕</v>
      </c>
      <c r="J6" s="8" t="str">
        <f t="shared" si="5"/>
        <v>국어</v>
      </c>
      <c r="K6" s="8" t="s">
        <v>56</v>
      </c>
      <c r="L6" s="8" t="str">
        <f t="shared" si="6"/>
        <v>진직</v>
      </c>
      <c r="M6" s="8" t="str">
        <f t="shared" si="6"/>
        <v>수학</v>
      </c>
      <c r="N6" s="8" t="str">
        <f t="shared" si="6"/>
        <v>역사</v>
      </c>
      <c r="O6" s="8" t="str">
        <f t="shared" si="6"/>
        <v>체육</v>
      </c>
      <c r="P6" s="13"/>
      <c r="Q6" s="8" t="str">
        <f t="shared" si="2"/>
        <v>기가</v>
      </c>
      <c r="R6" s="8" t="str">
        <f t="shared" si="2"/>
        <v>기가</v>
      </c>
      <c r="S6" s="8" t="str">
        <f t="shared" si="2"/>
        <v>정보</v>
      </c>
      <c r="T6" s="8" t="str">
        <f t="shared" si="2"/>
        <v>영어</v>
      </c>
      <c r="U6" s="8" t="str">
        <f t="shared" si="2"/>
        <v>국어</v>
      </c>
      <c r="V6" s="8" t="str">
        <f t="shared" si="2"/>
        <v>역사</v>
      </c>
      <c r="W6" s="13"/>
      <c r="X6" s="8" t="str">
        <f t="shared" si="7"/>
        <v>수학</v>
      </c>
      <c r="Y6" s="8" t="str">
        <f t="shared" si="7"/>
        <v>국어</v>
      </c>
      <c r="Z6" s="8" t="str">
        <f t="shared" si="7"/>
        <v>과학</v>
      </c>
      <c r="AA6" s="8" t="str">
        <f t="shared" si="7"/>
        <v>미술</v>
      </c>
      <c r="AB6" s="8" t="str">
        <f t="shared" si="7"/>
        <v>역사</v>
      </c>
      <c r="AC6" s="8" t="str">
        <f t="shared" si="7"/>
        <v>도덕</v>
      </c>
      <c r="AD6" s="8" t="s">
        <v>57</v>
      </c>
      <c r="AE6" s="13"/>
      <c r="AF6" s="8" t="str">
        <f t="shared" si="4"/>
        <v>음악</v>
      </c>
      <c r="AG6" s="8" t="str">
        <f t="shared" si="4"/>
        <v>정보</v>
      </c>
      <c r="AH6" s="8" t="str">
        <f t="shared" si="4"/>
        <v>수학</v>
      </c>
      <c r="AI6" s="8" t="str">
        <f t="shared" si="4"/>
        <v>영어</v>
      </c>
      <c r="AJ6" s="8" t="str">
        <f t="shared" si="4"/>
        <v>과학</v>
      </c>
      <c r="AK6" s="8" t="str">
        <f t="shared" si="4"/>
        <v>체육</v>
      </c>
      <c r="AL6" s="13"/>
      <c r="AM6" s="16" t="s">
        <v>8</v>
      </c>
      <c r="AN6" s="58"/>
      <c r="AO6" s="50"/>
      <c r="AP6" s="51"/>
    </row>
    <row r="7" spans="1:42" ht="16.5" customHeight="1">
      <c r="A7" s="25" t="s">
        <v>21</v>
      </c>
      <c r="B7" s="8" t="str">
        <f t="shared" si="0"/>
        <v>국어</v>
      </c>
      <c r="C7" s="8" t="str">
        <f t="shared" si="0"/>
        <v>수학</v>
      </c>
      <c r="D7" s="8" t="str">
        <f t="shared" si="0"/>
        <v>영어</v>
      </c>
      <c r="E7" s="8" t="str">
        <f t="shared" si="0"/>
        <v>체육</v>
      </c>
      <c r="F7" s="8" t="str">
        <f t="shared" si="0"/>
        <v>과학</v>
      </c>
      <c r="G7" s="8" t="str">
        <f t="shared" si="0"/>
        <v>미술</v>
      </c>
      <c r="H7" s="12"/>
      <c r="I7" s="8" t="str">
        <f t="shared" si="5"/>
        <v>미술</v>
      </c>
      <c r="J7" s="8" t="str">
        <f t="shared" si="5"/>
        <v>수학</v>
      </c>
      <c r="K7" s="8" t="s">
        <v>56</v>
      </c>
      <c r="L7" s="8" t="str">
        <f t="shared" si="6"/>
        <v>도덕</v>
      </c>
      <c r="M7" s="8" t="str">
        <f t="shared" si="6"/>
        <v>역사</v>
      </c>
      <c r="N7" s="8" t="str">
        <f t="shared" si="6"/>
        <v>체육</v>
      </c>
      <c r="O7" s="8" t="str">
        <f t="shared" si="6"/>
        <v>국어</v>
      </c>
      <c r="P7" s="13"/>
      <c r="Q7" s="8" t="str">
        <f t="shared" si="2"/>
        <v>영어</v>
      </c>
      <c r="R7" s="8" t="str">
        <f t="shared" si="2"/>
        <v>정보</v>
      </c>
      <c r="S7" s="8" t="str">
        <f t="shared" si="2"/>
        <v>국어</v>
      </c>
      <c r="T7" s="8" t="str">
        <f t="shared" si="2"/>
        <v>과학</v>
      </c>
      <c r="U7" s="8" t="str">
        <f t="shared" si="2"/>
        <v>수학</v>
      </c>
      <c r="V7" s="8" t="str">
        <f t="shared" si="2"/>
        <v>체육</v>
      </c>
      <c r="W7" s="13"/>
      <c r="X7" s="8" t="str">
        <f t="shared" si="7"/>
        <v>기가</v>
      </c>
      <c r="Y7" s="8" t="str">
        <f t="shared" si="7"/>
        <v>기가</v>
      </c>
      <c r="Z7" s="8" t="str">
        <f t="shared" si="7"/>
        <v>음악</v>
      </c>
      <c r="AA7" s="8" t="str">
        <f t="shared" si="7"/>
        <v>국어</v>
      </c>
      <c r="AB7" s="8" t="str">
        <f t="shared" si="7"/>
        <v>과학</v>
      </c>
      <c r="AC7" s="8" t="str">
        <f t="shared" si="7"/>
        <v>역사</v>
      </c>
      <c r="AD7" s="8" t="s">
        <v>57</v>
      </c>
      <c r="AE7" s="13"/>
      <c r="AF7" s="8" t="str">
        <f t="shared" si="4"/>
        <v>영어</v>
      </c>
      <c r="AG7" s="8" t="str">
        <f t="shared" si="4"/>
        <v>역사</v>
      </c>
      <c r="AH7" s="8" t="str">
        <f t="shared" si="4"/>
        <v>정보</v>
      </c>
      <c r="AI7" s="8" t="str">
        <f t="shared" si="4"/>
        <v>진직</v>
      </c>
      <c r="AJ7" s="8" t="str">
        <f t="shared" si="4"/>
        <v>수학</v>
      </c>
      <c r="AK7" s="8" t="str">
        <f t="shared" si="4"/>
        <v>도덕</v>
      </c>
      <c r="AL7" s="13"/>
      <c r="AM7" s="16" t="s">
        <v>21</v>
      </c>
      <c r="AN7" s="58"/>
      <c r="AO7" s="50"/>
      <c r="AP7" s="51"/>
    </row>
    <row r="8" spans="1:42" ht="16.5" customHeight="1">
      <c r="A8" s="25" t="s">
        <v>9</v>
      </c>
      <c r="B8" s="7" t="str">
        <f t="shared" si="0"/>
        <v>국어</v>
      </c>
      <c r="C8" s="7" t="str">
        <f t="shared" si="0"/>
        <v>과학</v>
      </c>
      <c r="D8" s="7" t="str">
        <f t="shared" si="0"/>
        <v>사회</v>
      </c>
      <c r="E8" s="7" t="str">
        <f t="shared" si="0"/>
        <v>기가</v>
      </c>
      <c r="F8" s="7" t="str">
        <f t="shared" si="0"/>
        <v>수학</v>
      </c>
      <c r="G8" s="7" t="str">
        <f t="shared" si="0"/>
        <v>영어</v>
      </c>
      <c r="H8" s="12"/>
      <c r="I8" s="7" t="str">
        <f t="shared" si="5"/>
        <v>진직</v>
      </c>
      <c r="J8" s="7" t="str">
        <f t="shared" si="5"/>
        <v>국어</v>
      </c>
      <c r="K8" s="7" t="str">
        <f>IFERROR(
    TRIM(
        SUBSTITUTE(
            INDEX($I$14:$O$44,
                  MATCH($A8&amp;"*",
                        INDEX($I$14:$O$44,,COLUMN()-COLUMN($I$3)+1),
                        0),
                  COLUMN()-COLUMN($I$3)+1),
            $A8 &amp; CHAR(10),
            "")
    ),
"")</f>
        <v>수학</v>
      </c>
      <c r="L8" s="7" t="s">
        <v>56</v>
      </c>
      <c r="M8" s="7" t="str">
        <f t="shared" ref="M8:O10" si="8">IFERROR(
    TRIM(
        SUBSTITUTE(
            INDEX($I$14:$O$44,
                  MATCH($A8&amp;"*",
                        INDEX($I$14:$O$44,,COLUMN()-COLUMN($I$3)+1),
                        0),
                  COLUMN()-COLUMN($I$3)+1),
            $A8 &amp; CHAR(10),
            "")
    ),
"")</f>
        <v>영어</v>
      </c>
      <c r="N8" s="7" t="str">
        <f t="shared" si="8"/>
        <v>음악</v>
      </c>
      <c r="O8" s="7" t="str">
        <f t="shared" si="8"/>
        <v>역사</v>
      </c>
      <c r="P8" s="13"/>
      <c r="Q8" s="7" t="str">
        <f t="shared" si="2"/>
        <v>사회</v>
      </c>
      <c r="R8" s="7" t="str">
        <f t="shared" si="2"/>
        <v>진직</v>
      </c>
      <c r="S8" s="7" t="str">
        <f t="shared" si="2"/>
        <v>체육</v>
      </c>
      <c r="T8" s="7" t="str">
        <f t="shared" si="2"/>
        <v>수학</v>
      </c>
      <c r="U8" s="7" t="str">
        <f t="shared" si="2"/>
        <v>국어</v>
      </c>
      <c r="V8" s="7" t="str">
        <f t="shared" si="2"/>
        <v>과학</v>
      </c>
      <c r="W8" s="13"/>
      <c r="X8" s="7" t="str">
        <f t="shared" si="7"/>
        <v>체육</v>
      </c>
      <c r="Y8" s="7" t="str">
        <f t="shared" si="7"/>
        <v>영어</v>
      </c>
      <c r="Z8" s="7" t="str">
        <f t="shared" si="7"/>
        <v>역사</v>
      </c>
      <c r="AA8" s="7" t="str">
        <f t="shared" si="7"/>
        <v>음악</v>
      </c>
      <c r="AB8" s="7" t="str">
        <f t="shared" si="7"/>
        <v>국어</v>
      </c>
      <c r="AC8" s="7" t="str">
        <f t="shared" si="7"/>
        <v>과학</v>
      </c>
      <c r="AD8" s="7" t="s">
        <v>57</v>
      </c>
      <c r="AE8" s="13"/>
      <c r="AF8" s="7" t="str">
        <f t="shared" si="4"/>
        <v>체육</v>
      </c>
      <c r="AG8" s="7" t="str">
        <f t="shared" si="4"/>
        <v>수학</v>
      </c>
      <c r="AH8" s="7" t="str">
        <f t="shared" si="4"/>
        <v>기가</v>
      </c>
      <c r="AI8" s="7" t="str">
        <f t="shared" si="4"/>
        <v>기가</v>
      </c>
      <c r="AJ8" s="7" t="str">
        <f t="shared" si="4"/>
        <v>한문</v>
      </c>
      <c r="AK8" s="7" t="str">
        <f t="shared" si="4"/>
        <v>미술</v>
      </c>
      <c r="AL8" s="13"/>
      <c r="AM8" s="16" t="s">
        <v>9</v>
      </c>
      <c r="AN8" s="58"/>
      <c r="AO8" s="50"/>
      <c r="AP8" s="51"/>
    </row>
    <row r="9" spans="1:42" ht="16.5" customHeight="1">
      <c r="A9" s="25" t="s">
        <v>10</v>
      </c>
      <c r="B9" s="7" t="str">
        <f t="shared" si="0"/>
        <v>과학</v>
      </c>
      <c r="C9" s="7" t="str">
        <f t="shared" si="0"/>
        <v>진직</v>
      </c>
      <c r="D9" s="7" t="str">
        <f t="shared" si="0"/>
        <v>역사</v>
      </c>
      <c r="E9" s="7" t="str">
        <f t="shared" si="0"/>
        <v>수학</v>
      </c>
      <c r="F9" s="7" t="str">
        <f t="shared" si="0"/>
        <v>국어</v>
      </c>
      <c r="G9" s="7" t="str">
        <f t="shared" si="0"/>
        <v>사회</v>
      </c>
      <c r="H9" s="12"/>
      <c r="I9" s="7" t="str">
        <f t="shared" si="5"/>
        <v>한문</v>
      </c>
      <c r="J9" s="7" t="str">
        <f t="shared" si="5"/>
        <v>영어</v>
      </c>
      <c r="K9" s="7" t="str">
        <f>IFERROR(
    TRIM(
        SUBSTITUTE(
            INDEX($I$14:$O$44,
                  MATCH($A9&amp;"*",
                        INDEX($I$14:$O$44,,COLUMN()-COLUMN($I$3)+1),
                        0),
                  COLUMN()-COLUMN($I$3)+1),
            $A9 &amp; CHAR(10),
            "")
    ),
"")</f>
        <v>국어</v>
      </c>
      <c r="L9" s="7" t="s">
        <v>56</v>
      </c>
      <c r="M9" s="7" t="str">
        <f t="shared" si="8"/>
        <v>수학</v>
      </c>
      <c r="N9" s="7" t="str">
        <f t="shared" si="8"/>
        <v>역사</v>
      </c>
      <c r="O9" s="7" t="str">
        <f t="shared" si="8"/>
        <v>진직</v>
      </c>
      <c r="P9" s="13"/>
      <c r="Q9" s="7" t="str">
        <f t="shared" si="2"/>
        <v>국어</v>
      </c>
      <c r="R9" s="7" t="str">
        <f t="shared" si="2"/>
        <v>체육</v>
      </c>
      <c r="S9" s="7" t="str">
        <f t="shared" si="2"/>
        <v>기가</v>
      </c>
      <c r="T9" s="7" t="str">
        <f t="shared" si="2"/>
        <v>기가</v>
      </c>
      <c r="U9" s="7" t="str">
        <f t="shared" si="2"/>
        <v>영어</v>
      </c>
      <c r="V9" s="7" t="str">
        <f t="shared" si="2"/>
        <v>수학</v>
      </c>
      <c r="W9" s="13"/>
      <c r="X9" s="7" t="str">
        <f t="shared" si="7"/>
        <v>음악</v>
      </c>
      <c r="Y9" s="7" t="str">
        <f t="shared" si="7"/>
        <v>과학</v>
      </c>
      <c r="Z9" s="7" t="str">
        <f t="shared" si="7"/>
        <v>체육</v>
      </c>
      <c r="AA9" s="7" t="str">
        <f t="shared" si="7"/>
        <v>기가</v>
      </c>
      <c r="AB9" s="7" t="str">
        <f t="shared" si="7"/>
        <v>영어</v>
      </c>
      <c r="AC9" s="7" t="str">
        <f t="shared" si="7"/>
        <v>미술</v>
      </c>
      <c r="AD9" s="7" t="s">
        <v>57</v>
      </c>
      <c r="AE9" s="13"/>
      <c r="AF9" s="7" t="str">
        <f t="shared" si="4"/>
        <v>과학</v>
      </c>
      <c r="AG9" s="7" t="str">
        <f t="shared" si="4"/>
        <v>체육</v>
      </c>
      <c r="AH9" s="7" t="str">
        <f t="shared" si="4"/>
        <v>수학</v>
      </c>
      <c r="AI9" s="7" t="str">
        <f t="shared" si="4"/>
        <v>사회</v>
      </c>
      <c r="AJ9" s="7" t="str">
        <f t="shared" si="4"/>
        <v>음악</v>
      </c>
      <c r="AK9" s="7" t="str">
        <f t="shared" si="4"/>
        <v>국어</v>
      </c>
      <c r="AL9" s="13"/>
      <c r="AM9" s="16" t="s">
        <v>10</v>
      </c>
      <c r="AN9" s="58"/>
      <c r="AO9" s="50"/>
      <c r="AP9" s="51"/>
    </row>
    <row r="10" spans="1:42" ht="16.5" customHeight="1">
      <c r="A10" s="25" t="s">
        <v>22</v>
      </c>
      <c r="B10" s="7" t="str">
        <f t="shared" si="0"/>
        <v>진직</v>
      </c>
      <c r="C10" s="7" t="str">
        <f t="shared" si="0"/>
        <v>국어</v>
      </c>
      <c r="D10" s="7" t="str">
        <f t="shared" si="0"/>
        <v>수학</v>
      </c>
      <c r="E10" s="7" t="str">
        <f t="shared" si="0"/>
        <v>음악</v>
      </c>
      <c r="F10" s="7" t="str">
        <f t="shared" si="0"/>
        <v>역사</v>
      </c>
      <c r="G10" s="7" t="str">
        <f t="shared" si="0"/>
        <v>과학</v>
      </c>
      <c r="H10" s="12"/>
      <c r="I10" s="7" t="str">
        <f t="shared" si="5"/>
        <v>사회</v>
      </c>
      <c r="J10" s="7" t="str">
        <f t="shared" si="5"/>
        <v>진직</v>
      </c>
      <c r="K10" s="7" t="str">
        <f>IFERROR(
    TRIM(
        SUBSTITUTE(
            INDEX($I$14:$O$44,
                  MATCH($A10&amp;"*",
                        INDEX($I$14:$O$44,,COLUMN()-COLUMN($I$3)+1),
                        0),
                  COLUMN()-COLUMN($I$3)+1),
            $A10 &amp; CHAR(10),
            "")
    ),
"")</f>
        <v>영어</v>
      </c>
      <c r="L10" s="7" t="s">
        <v>56</v>
      </c>
      <c r="M10" s="7" t="str">
        <f t="shared" si="8"/>
        <v>국어</v>
      </c>
      <c r="N10" s="7" t="str">
        <f t="shared" si="8"/>
        <v>수학</v>
      </c>
      <c r="O10" s="7" t="str">
        <f t="shared" si="8"/>
        <v>음악</v>
      </c>
      <c r="P10" s="13"/>
      <c r="Q10" s="7" t="str">
        <f t="shared" si="2"/>
        <v>과학</v>
      </c>
      <c r="R10" s="7" t="str">
        <f t="shared" si="2"/>
        <v>수학</v>
      </c>
      <c r="S10" s="7" t="str">
        <f t="shared" si="2"/>
        <v>국어</v>
      </c>
      <c r="T10" s="7" t="str">
        <f t="shared" si="2"/>
        <v>체육</v>
      </c>
      <c r="U10" s="7" t="str">
        <f t="shared" si="2"/>
        <v>역사</v>
      </c>
      <c r="V10" s="7" t="str">
        <f t="shared" si="2"/>
        <v>미술</v>
      </c>
      <c r="W10" s="13"/>
      <c r="X10" s="7" t="str">
        <f t="shared" si="7"/>
        <v>사회</v>
      </c>
      <c r="Y10" s="7" t="str">
        <f t="shared" si="7"/>
        <v>체육</v>
      </c>
      <c r="Z10" s="7" t="str">
        <f t="shared" si="7"/>
        <v>기가</v>
      </c>
      <c r="AA10" s="7" t="str">
        <f t="shared" si="7"/>
        <v>영어</v>
      </c>
      <c r="AB10" s="7" t="str">
        <f t="shared" si="7"/>
        <v>수학</v>
      </c>
      <c r="AC10" s="7" t="str">
        <f t="shared" si="7"/>
        <v>국어</v>
      </c>
      <c r="AD10" s="7" t="s">
        <v>57</v>
      </c>
      <c r="AE10" s="13"/>
      <c r="AF10" s="7" t="str">
        <f t="shared" si="4"/>
        <v>기가</v>
      </c>
      <c r="AG10" s="7" t="str">
        <f t="shared" si="4"/>
        <v>기가</v>
      </c>
      <c r="AH10" s="7" t="str">
        <f t="shared" si="4"/>
        <v>체육</v>
      </c>
      <c r="AI10" s="7" t="str">
        <f t="shared" si="4"/>
        <v>한문</v>
      </c>
      <c r="AJ10" s="7" t="str">
        <f t="shared" si="4"/>
        <v>과학</v>
      </c>
      <c r="AK10" s="7" t="str">
        <f t="shared" si="4"/>
        <v>영어</v>
      </c>
      <c r="AL10" s="13"/>
      <c r="AM10" s="16" t="s">
        <v>22</v>
      </c>
      <c r="AN10" s="58"/>
      <c r="AO10" s="52"/>
      <c r="AP10" s="53"/>
    </row>
    <row r="11" spans="1:42" s="11" customFormat="1" ht="1.5" customHeight="1">
      <c r="A11" s="27"/>
      <c r="B11" s="20"/>
      <c r="C11" s="20"/>
      <c r="D11" s="20"/>
      <c r="E11" s="20"/>
      <c r="F11" s="20"/>
      <c r="G11" s="20"/>
      <c r="H11" s="12"/>
      <c r="I11" s="20"/>
      <c r="J11" s="20"/>
      <c r="K11" s="20"/>
      <c r="L11" s="20"/>
      <c r="M11" s="20"/>
      <c r="N11" s="20"/>
      <c r="O11" s="20"/>
      <c r="P11" s="13"/>
      <c r="Q11" s="20"/>
      <c r="R11" s="20"/>
      <c r="S11" s="20"/>
      <c r="T11" s="20"/>
      <c r="U11" s="20"/>
      <c r="V11" s="20"/>
      <c r="W11" s="13"/>
      <c r="X11" s="20"/>
      <c r="Y11" s="20"/>
      <c r="Z11" s="20"/>
      <c r="AA11" s="20"/>
      <c r="AB11" s="20"/>
      <c r="AC11" s="20"/>
      <c r="AD11" s="20"/>
      <c r="AE11" s="13"/>
      <c r="AF11" s="20"/>
      <c r="AG11" s="20"/>
      <c r="AH11" s="20"/>
      <c r="AI11" s="20"/>
      <c r="AJ11" s="20"/>
      <c r="AK11" s="20"/>
      <c r="AL11" s="13"/>
      <c r="AM11" s="21"/>
      <c r="AN11" s="58"/>
      <c r="AO11" s="22"/>
      <c r="AP11" s="23"/>
    </row>
    <row r="12" spans="1:42" ht="16.5" customHeight="1">
      <c r="A12" s="44" t="s">
        <v>67</v>
      </c>
      <c r="B12" s="38" t="s">
        <v>0</v>
      </c>
      <c r="C12" s="37"/>
      <c r="D12" s="37"/>
      <c r="E12" s="37"/>
      <c r="F12" s="37"/>
      <c r="G12" s="37"/>
      <c r="H12" s="12"/>
      <c r="I12" s="38" t="s">
        <v>1</v>
      </c>
      <c r="J12" s="37"/>
      <c r="K12" s="37"/>
      <c r="L12" s="37"/>
      <c r="M12" s="37"/>
      <c r="N12" s="37"/>
      <c r="O12" s="37"/>
      <c r="P12" s="13"/>
      <c r="Q12" s="38" t="s">
        <v>2</v>
      </c>
      <c r="R12" s="37"/>
      <c r="S12" s="37"/>
      <c r="T12" s="37"/>
      <c r="U12" s="37"/>
      <c r="V12" s="37"/>
      <c r="W12" s="13"/>
      <c r="X12" s="38" t="s">
        <v>3</v>
      </c>
      <c r="Y12" s="38"/>
      <c r="Z12" s="38"/>
      <c r="AA12" s="38"/>
      <c r="AB12" s="38"/>
      <c r="AC12" s="38"/>
      <c r="AD12" s="38"/>
      <c r="AE12" s="13"/>
      <c r="AF12" s="41" t="s">
        <v>4</v>
      </c>
      <c r="AG12" s="37"/>
      <c r="AH12" s="37"/>
      <c r="AI12" s="37"/>
      <c r="AJ12" s="37"/>
      <c r="AK12" s="37"/>
      <c r="AL12" s="13"/>
      <c r="AM12" s="54" t="s">
        <v>67</v>
      </c>
      <c r="AN12" s="58"/>
      <c r="AO12" s="46" t="s">
        <v>62</v>
      </c>
      <c r="AP12" s="45" t="s">
        <v>66</v>
      </c>
    </row>
    <row r="13" spans="1:42" ht="16.5" customHeight="1">
      <c r="A13" s="44"/>
      <c r="B13" s="26">
        <v>1</v>
      </c>
      <c r="C13" s="26">
        <v>2</v>
      </c>
      <c r="D13" s="26">
        <v>3</v>
      </c>
      <c r="E13" s="26">
        <v>4</v>
      </c>
      <c r="F13" s="26">
        <v>5</v>
      </c>
      <c r="G13" s="26">
        <v>6</v>
      </c>
      <c r="H13" s="14"/>
      <c r="I13" s="26">
        <v>1</v>
      </c>
      <c r="J13" s="26">
        <v>2</v>
      </c>
      <c r="K13" s="26">
        <v>3</v>
      </c>
      <c r="L13" s="26">
        <v>4</v>
      </c>
      <c r="M13" s="26">
        <v>5</v>
      </c>
      <c r="N13" s="26">
        <v>6</v>
      </c>
      <c r="O13" s="26">
        <v>7</v>
      </c>
      <c r="P13" s="13"/>
      <c r="Q13" s="26">
        <v>1</v>
      </c>
      <c r="R13" s="26">
        <v>2</v>
      </c>
      <c r="S13" s="26">
        <v>3</v>
      </c>
      <c r="T13" s="26">
        <v>4</v>
      </c>
      <c r="U13" s="26">
        <v>5</v>
      </c>
      <c r="V13" s="26">
        <v>6</v>
      </c>
      <c r="W13" s="13"/>
      <c r="X13" s="26">
        <v>1</v>
      </c>
      <c r="Y13" s="26">
        <v>2</v>
      </c>
      <c r="Z13" s="26">
        <v>3</v>
      </c>
      <c r="AA13" s="26">
        <v>4</v>
      </c>
      <c r="AB13" s="26">
        <v>5</v>
      </c>
      <c r="AC13" s="26">
        <v>6</v>
      </c>
      <c r="AD13" s="26">
        <v>7</v>
      </c>
      <c r="AE13" s="13"/>
      <c r="AF13" s="26">
        <v>1</v>
      </c>
      <c r="AG13" s="26">
        <v>2</v>
      </c>
      <c r="AH13" s="26">
        <v>3</v>
      </c>
      <c r="AI13" s="26">
        <v>4</v>
      </c>
      <c r="AJ13" s="26">
        <v>5</v>
      </c>
      <c r="AK13" s="26">
        <v>6</v>
      </c>
      <c r="AL13" s="13"/>
      <c r="AM13" s="55"/>
      <c r="AN13" s="58"/>
      <c r="AO13" s="47"/>
      <c r="AP13" s="44"/>
    </row>
    <row r="14" spans="1:42" ht="30" customHeight="1">
      <c r="A14" s="9" t="s">
        <v>70</v>
      </c>
      <c r="B14" s="1" t="s">
        <v>108</v>
      </c>
      <c r="C14" s="29"/>
      <c r="D14" s="2" t="s">
        <v>105</v>
      </c>
      <c r="E14" s="2" t="s">
        <v>104</v>
      </c>
      <c r="F14" s="29"/>
      <c r="G14" s="1" t="s">
        <v>107</v>
      </c>
      <c r="H14" s="13"/>
      <c r="I14" s="29"/>
      <c r="J14" s="1" t="s">
        <v>107</v>
      </c>
      <c r="K14" s="2" t="s">
        <v>104</v>
      </c>
      <c r="L14" s="30"/>
      <c r="N14" s="1" t="s">
        <v>106</v>
      </c>
      <c r="O14" s="1" t="s">
        <v>108</v>
      </c>
      <c r="P14" s="13"/>
      <c r="R14" s="1" t="s">
        <v>106</v>
      </c>
      <c r="S14" s="1" t="s">
        <v>108</v>
      </c>
      <c r="T14" s="29"/>
      <c r="U14" s="1" t="s">
        <v>107</v>
      </c>
      <c r="V14" s="30"/>
      <c r="W14" s="13"/>
      <c r="X14" s="1" t="s">
        <v>106</v>
      </c>
      <c r="Y14" s="1" t="s">
        <v>107</v>
      </c>
      <c r="Z14" s="29"/>
      <c r="AA14" s="1" t="s">
        <v>108</v>
      </c>
      <c r="AB14" s="2" t="s">
        <v>105</v>
      </c>
      <c r="AC14" s="29"/>
      <c r="AD14" s="30"/>
      <c r="AE14" s="13"/>
      <c r="AF14" s="2" t="s">
        <v>105</v>
      </c>
      <c r="AG14" s="2" t="s">
        <v>104</v>
      </c>
      <c r="AH14" s="1" t="s">
        <v>106</v>
      </c>
      <c r="AI14" s="30"/>
      <c r="AJ14" s="29"/>
      <c r="AK14" s="29"/>
      <c r="AL14" s="13"/>
      <c r="AM14" s="9" t="s">
        <v>70</v>
      </c>
      <c r="AN14" s="19"/>
      <c r="AO14" s="18">
        <f>COUNTA($B14:$AK14)</f>
        <v>18</v>
      </c>
      <c r="AP14" s="15" t="s">
        <v>60</v>
      </c>
    </row>
    <row r="15" spans="1:42" ht="30" customHeight="1">
      <c r="A15" s="10" t="s">
        <v>71</v>
      </c>
      <c r="B15" s="3" t="s">
        <v>110</v>
      </c>
      <c r="C15" s="3" t="s">
        <v>111</v>
      </c>
      <c r="D15" s="30"/>
      <c r="E15" s="29"/>
      <c r="F15" s="3" t="s">
        <v>109</v>
      </c>
      <c r="G15" s="29"/>
      <c r="H15" s="13"/>
      <c r="I15" s="3" t="s">
        <v>114</v>
      </c>
      <c r="J15" s="3" t="s">
        <v>110</v>
      </c>
      <c r="K15" s="3" t="s">
        <v>109</v>
      </c>
      <c r="L15" s="29"/>
      <c r="M15" s="3" t="s">
        <v>111</v>
      </c>
      <c r="N15" s="29"/>
      <c r="O15" s="29"/>
      <c r="P15" s="13"/>
      <c r="Q15" s="3" t="s">
        <v>109</v>
      </c>
      <c r="S15" s="3" t="s">
        <v>111</v>
      </c>
      <c r="T15" s="30"/>
      <c r="U15" s="3" t="s">
        <v>110</v>
      </c>
      <c r="V15" s="29"/>
      <c r="W15" s="13"/>
      <c r="X15" s="29"/>
      <c r="Y15" s="2" t="s">
        <v>98</v>
      </c>
      <c r="Z15" s="2" t="s">
        <v>99</v>
      </c>
      <c r="AA15" s="60"/>
      <c r="AB15" s="3" t="s">
        <v>110</v>
      </c>
      <c r="AC15" s="3" t="s">
        <v>111</v>
      </c>
      <c r="AD15" s="30"/>
      <c r="AE15" s="13"/>
      <c r="AF15" s="30"/>
      <c r="AG15" s="29"/>
      <c r="AH15" s="29"/>
      <c r="AI15" s="3" t="s">
        <v>112</v>
      </c>
      <c r="AJ15" s="3" t="s">
        <v>113</v>
      </c>
      <c r="AK15" s="3" t="s">
        <v>109</v>
      </c>
      <c r="AL15" s="13"/>
      <c r="AM15" s="10" t="s">
        <v>71</v>
      </c>
      <c r="AN15" s="19"/>
      <c r="AO15" s="18">
        <f t="shared" ref="AO15:AO34" si="9">COUNTA($B15:$AK15)</f>
        <v>17</v>
      </c>
      <c r="AP15" s="15" t="s">
        <v>85</v>
      </c>
    </row>
    <row r="16" spans="1:42" ht="30" customHeight="1">
      <c r="A16" s="10" t="s">
        <v>72</v>
      </c>
      <c r="B16" s="30"/>
      <c r="C16" s="29"/>
      <c r="D16" s="3" t="s">
        <v>143</v>
      </c>
      <c r="E16" s="29"/>
      <c r="F16" s="1" t="s">
        <v>150</v>
      </c>
      <c r="G16" s="3" t="s">
        <v>144</v>
      </c>
      <c r="H16" s="13"/>
      <c r="I16" s="3" t="s">
        <v>145</v>
      </c>
      <c r="J16" s="29"/>
      <c r="K16" s="29"/>
      <c r="L16" s="1" t="s">
        <v>150</v>
      </c>
      <c r="M16" s="1" t="s">
        <v>152</v>
      </c>
      <c r="N16" s="1" t="s">
        <v>151</v>
      </c>
      <c r="O16" s="29"/>
      <c r="P16" s="13"/>
      <c r="Q16" s="3" t="s">
        <v>143</v>
      </c>
      <c r="R16" s="2" t="s">
        <v>141</v>
      </c>
      <c r="S16" s="29"/>
      <c r="T16" s="29"/>
      <c r="U16" s="29"/>
      <c r="V16" s="1" t="s">
        <v>151</v>
      </c>
      <c r="W16" s="13"/>
      <c r="X16" s="3" t="s">
        <v>145</v>
      </c>
      <c r="Y16" s="29"/>
      <c r="Z16" s="29"/>
      <c r="AA16" s="1" t="s">
        <v>150</v>
      </c>
      <c r="AB16" s="1" t="s">
        <v>151</v>
      </c>
      <c r="AC16" s="1" t="s">
        <v>152</v>
      </c>
      <c r="AD16" s="2" t="s">
        <v>141</v>
      </c>
      <c r="AE16" s="13"/>
      <c r="AF16" s="29"/>
      <c r="AG16" s="1" t="s">
        <v>152</v>
      </c>
      <c r="AH16" s="30"/>
      <c r="AI16" s="3" t="s">
        <v>144</v>
      </c>
      <c r="AJ16" s="29"/>
      <c r="AK16" s="29"/>
      <c r="AL16" s="13"/>
      <c r="AM16" s="10" t="s">
        <v>72</v>
      </c>
      <c r="AN16" s="19"/>
      <c r="AO16" s="18">
        <f t="shared" si="9"/>
        <v>17</v>
      </c>
      <c r="AP16" s="15" t="s">
        <v>85</v>
      </c>
    </row>
    <row r="17" spans="1:42 16355:16355" ht="30" customHeight="1">
      <c r="A17" s="10" t="s">
        <v>23</v>
      </c>
      <c r="B17" s="29"/>
      <c r="D17" s="3" t="s">
        <v>154</v>
      </c>
      <c r="F17" s="3" t="s">
        <v>153</v>
      </c>
      <c r="G17" s="29"/>
      <c r="H17" s="13"/>
      <c r="I17" s="1" t="s">
        <v>157</v>
      </c>
      <c r="L17" s="1" t="s">
        <v>156</v>
      </c>
      <c r="M17" s="2" t="s">
        <v>159</v>
      </c>
      <c r="N17" s="3" t="s">
        <v>154</v>
      </c>
      <c r="O17" s="3" t="s">
        <v>155</v>
      </c>
      <c r="P17" s="13"/>
      <c r="Q17" s="29"/>
      <c r="R17" s="59" t="s">
        <v>142</v>
      </c>
      <c r="S17" s="30"/>
      <c r="T17" s="59" t="s">
        <v>159</v>
      </c>
      <c r="U17" s="3" t="s">
        <v>153</v>
      </c>
      <c r="V17" s="2" t="s">
        <v>160</v>
      </c>
      <c r="W17" s="13"/>
      <c r="X17" s="30"/>
      <c r="Y17" s="29"/>
      <c r="Z17" s="3" t="s">
        <v>155</v>
      </c>
      <c r="AB17" s="1" t="s">
        <v>158</v>
      </c>
      <c r="AC17" s="1" t="s">
        <v>157</v>
      </c>
      <c r="AD17" s="30"/>
      <c r="AE17" s="13"/>
      <c r="AF17" s="29"/>
      <c r="AH17" s="2" t="s">
        <v>142</v>
      </c>
      <c r="AI17" s="2" t="s">
        <v>160</v>
      </c>
      <c r="AJ17" s="1" t="s">
        <v>158</v>
      </c>
      <c r="AK17" s="1" t="s">
        <v>156</v>
      </c>
      <c r="AL17" s="13"/>
      <c r="AM17" s="10" t="s">
        <v>23</v>
      </c>
      <c r="AN17" s="19"/>
      <c r="AO17" s="18">
        <f t="shared" si="9"/>
        <v>18</v>
      </c>
      <c r="AP17" s="15" t="s">
        <v>60</v>
      </c>
    </row>
    <row r="18" spans="1:42 16355:16355" ht="30" customHeight="1">
      <c r="A18" s="10" t="s">
        <v>73</v>
      </c>
      <c r="B18" s="2" t="s">
        <v>92</v>
      </c>
      <c r="C18" s="2" t="s">
        <v>52</v>
      </c>
      <c r="D18" s="29"/>
      <c r="E18" s="3" t="s">
        <v>20</v>
      </c>
      <c r="F18" s="3" t="s">
        <v>19</v>
      </c>
      <c r="H18" s="13"/>
      <c r="I18" s="29"/>
      <c r="K18" s="3" t="s">
        <v>19</v>
      </c>
      <c r="L18" s="2" t="s">
        <v>53</v>
      </c>
      <c r="M18" s="3" t="s">
        <v>20</v>
      </c>
      <c r="O18" s="2" t="s">
        <v>52</v>
      </c>
      <c r="P18" s="13"/>
      <c r="S18" s="2" t="s">
        <v>53</v>
      </c>
      <c r="T18" s="3" t="s">
        <v>19</v>
      </c>
      <c r="U18" s="29"/>
      <c r="V18" s="3" t="s">
        <v>20</v>
      </c>
      <c r="W18" s="13"/>
      <c r="Z18" s="2" t="s">
        <v>95</v>
      </c>
      <c r="AA18" s="2" t="s">
        <v>94</v>
      </c>
      <c r="AB18" s="30"/>
      <c r="AC18" s="2" t="s">
        <v>53</v>
      </c>
      <c r="AD18" s="2" t="s">
        <v>52</v>
      </c>
      <c r="AE18" s="13"/>
      <c r="AG18" s="3" t="s">
        <v>19</v>
      </c>
      <c r="AH18" s="3" t="s">
        <v>20</v>
      </c>
      <c r="AJ18" s="30"/>
      <c r="AK18" s="31"/>
      <c r="AL18" s="13"/>
      <c r="AM18" s="10" t="s">
        <v>73</v>
      </c>
      <c r="AN18" s="19"/>
      <c r="AO18" s="18">
        <f>COUNTA($B18:$AK18)</f>
        <v>17</v>
      </c>
      <c r="AP18" s="15" t="s">
        <v>85</v>
      </c>
    </row>
    <row r="19" spans="1:42 16355:16355" ht="30" customHeight="1">
      <c r="A19" s="10" t="s">
        <v>78</v>
      </c>
      <c r="C19" s="1" t="s">
        <v>117</v>
      </c>
      <c r="D19" s="3" t="s">
        <v>118</v>
      </c>
      <c r="E19" s="31"/>
      <c r="F19" s="1" t="s">
        <v>116</v>
      </c>
      <c r="G19" s="1" t="s">
        <v>115</v>
      </c>
      <c r="H19" s="13"/>
      <c r="J19" s="1" t="s">
        <v>117</v>
      </c>
      <c r="K19" s="4" t="s">
        <v>54</v>
      </c>
      <c r="L19" s="29"/>
      <c r="M19" s="1" t="s">
        <v>116</v>
      </c>
      <c r="N19" s="3" t="s">
        <v>118</v>
      </c>
      <c r="O19" s="29"/>
      <c r="P19" s="13"/>
      <c r="Q19" s="31"/>
      <c r="R19" s="3" t="s">
        <v>118</v>
      </c>
      <c r="S19" s="29"/>
      <c r="T19" s="1" t="s">
        <v>115</v>
      </c>
      <c r="U19" s="1" t="s">
        <v>117</v>
      </c>
      <c r="V19" s="30"/>
      <c r="W19" s="13"/>
      <c r="X19" s="1" t="s">
        <v>116</v>
      </c>
      <c r="Y19" s="31"/>
      <c r="Z19" s="1" t="s">
        <v>115</v>
      </c>
      <c r="AB19" s="3" t="s">
        <v>118</v>
      </c>
      <c r="AC19" s="29"/>
      <c r="AD19" s="33"/>
      <c r="AE19" s="13"/>
      <c r="AF19" s="29"/>
      <c r="AG19" s="30"/>
      <c r="AH19" s="1" t="s">
        <v>116</v>
      </c>
      <c r="AI19" s="30"/>
      <c r="AJ19" s="1" t="s">
        <v>117</v>
      </c>
      <c r="AK19" s="1" t="s">
        <v>115</v>
      </c>
      <c r="AL19" s="13"/>
      <c r="AM19" s="10" t="s">
        <v>78</v>
      </c>
      <c r="AN19" s="19"/>
      <c r="AO19" s="18">
        <f>COUNTA($B19:$AK19)</f>
        <v>17</v>
      </c>
      <c r="AP19" s="15" t="s">
        <v>85</v>
      </c>
    </row>
    <row r="20" spans="1:42 16355:16355" ht="30" customHeight="1">
      <c r="A20" s="10" t="s">
        <v>34</v>
      </c>
      <c r="B20" s="29"/>
      <c r="C20" s="1" t="s">
        <v>122</v>
      </c>
      <c r="D20" s="30"/>
      <c r="E20" s="1" t="s">
        <v>121</v>
      </c>
      <c r="F20" s="1" t="s">
        <v>123</v>
      </c>
      <c r="G20" s="30"/>
      <c r="H20" s="13"/>
      <c r="I20" s="4" t="s">
        <v>55</v>
      </c>
      <c r="J20" s="4" t="s">
        <v>55</v>
      </c>
      <c r="K20" s="4" t="s">
        <v>54</v>
      </c>
      <c r="L20" s="4" t="s">
        <v>11</v>
      </c>
      <c r="M20" s="29"/>
      <c r="O20" s="29"/>
      <c r="P20" s="13"/>
      <c r="Q20" s="2" t="s">
        <v>120</v>
      </c>
      <c r="R20" s="29"/>
      <c r="S20" s="30"/>
      <c r="T20" s="1" t="s">
        <v>123</v>
      </c>
      <c r="U20" s="2" t="s">
        <v>119</v>
      </c>
      <c r="V20" s="1" t="s">
        <v>121</v>
      </c>
      <c r="W20" s="13"/>
      <c r="X20" s="31"/>
      <c r="Y20" s="2" t="s">
        <v>97</v>
      </c>
      <c r="Z20" s="1" t="s">
        <v>122</v>
      </c>
      <c r="AA20" s="30"/>
      <c r="AB20" s="1" t="s">
        <v>123</v>
      </c>
      <c r="AC20" s="29"/>
      <c r="AD20" s="35" t="s">
        <v>49</v>
      </c>
      <c r="AE20" s="13"/>
      <c r="AF20" s="31"/>
      <c r="AG20" s="2" t="s">
        <v>120</v>
      </c>
      <c r="AH20" s="29"/>
      <c r="AI20" s="1" t="s">
        <v>121</v>
      </c>
      <c r="AJ20" s="1" t="s">
        <v>122</v>
      </c>
      <c r="AK20" s="30"/>
      <c r="AL20" s="13"/>
      <c r="AM20" s="10" t="s">
        <v>34</v>
      </c>
      <c r="AN20" s="19"/>
      <c r="AO20" s="18">
        <f t="shared" si="9"/>
        <v>18</v>
      </c>
      <c r="AP20" s="15" t="s">
        <v>60</v>
      </c>
    </row>
    <row r="21" spans="1:42 16355:16355" ht="30" customHeight="1">
      <c r="A21" s="10" t="s">
        <v>74</v>
      </c>
      <c r="B21" s="3" t="s">
        <v>125</v>
      </c>
      <c r="C21" s="3" t="s">
        <v>124</v>
      </c>
      <c r="E21" s="29"/>
      <c r="F21" s="31"/>
      <c r="G21" s="3" t="s">
        <v>126</v>
      </c>
      <c r="H21" s="13"/>
      <c r="I21" s="4" t="s">
        <v>55</v>
      </c>
      <c r="J21" s="4" t="s">
        <v>55</v>
      </c>
      <c r="K21" s="4" t="s">
        <v>54</v>
      </c>
      <c r="L21" s="4" t="s">
        <v>11</v>
      </c>
      <c r="M21" s="2" t="s">
        <v>119</v>
      </c>
      <c r="N21" s="29"/>
      <c r="O21" s="30"/>
      <c r="P21" s="13"/>
      <c r="Q21" s="3" t="s">
        <v>126</v>
      </c>
      <c r="S21" s="30"/>
      <c r="T21" s="31"/>
      <c r="U21" s="31"/>
      <c r="V21" s="3" t="s">
        <v>124</v>
      </c>
      <c r="W21" s="13"/>
      <c r="X21" s="2" t="s">
        <v>119</v>
      </c>
      <c r="Y21" s="3" t="s">
        <v>125</v>
      </c>
      <c r="AA21" s="2" t="s">
        <v>96</v>
      </c>
      <c r="AB21" s="31"/>
      <c r="AC21" s="3" t="s">
        <v>124</v>
      </c>
      <c r="AD21" s="35" t="s">
        <v>49</v>
      </c>
      <c r="AE21" s="13"/>
      <c r="AF21" s="3" t="s">
        <v>125</v>
      </c>
      <c r="AG21" s="30"/>
      <c r="AH21" s="30"/>
      <c r="AI21" s="30"/>
      <c r="AJ21" s="3" t="s">
        <v>126</v>
      </c>
      <c r="AK21" s="2" t="s">
        <v>120</v>
      </c>
      <c r="AL21" s="13"/>
      <c r="AM21" s="10" t="s">
        <v>74</v>
      </c>
      <c r="AN21" s="19"/>
      <c r="AO21" s="18">
        <f t="shared" si="9"/>
        <v>18</v>
      </c>
      <c r="AP21" s="15" t="s">
        <v>60</v>
      </c>
    </row>
    <row r="22" spans="1:42 16355:16355" ht="30" customHeight="1">
      <c r="A22" s="10" t="s">
        <v>24</v>
      </c>
      <c r="B22" s="2" t="s">
        <v>91</v>
      </c>
      <c r="C22" s="2" t="s">
        <v>37</v>
      </c>
      <c r="D22" s="2" t="s">
        <v>37</v>
      </c>
      <c r="E22" s="3" t="s">
        <v>27</v>
      </c>
      <c r="G22" s="29"/>
      <c r="H22" s="13"/>
      <c r="I22" s="1" t="s">
        <v>36</v>
      </c>
      <c r="J22" s="1" t="s">
        <v>36</v>
      </c>
      <c r="K22" s="2" t="s">
        <v>38</v>
      </c>
      <c r="L22" s="2" t="s">
        <v>38</v>
      </c>
      <c r="M22" s="29"/>
      <c r="N22" s="29"/>
      <c r="O22" s="29"/>
      <c r="P22" s="13"/>
      <c r="Q22" s="1" t="s">
        <v>35</v>
      </c>
      <c r="R22" s="1" t="s">
        <v>35</v>
      </c>
      <c r="S22" s="3" t="s">
        <v>26</v>
      </c>
      <c r="T22" s="3" t="s">
        <v>26</v>
      </c>
      <c r="U22" s="29"/>
      <c r="W22" s="13"/>
      <c r="X22" s="1" t="s">
        <v>28</v>
      </c>
      <c r="Y22" s="1" t="s">
        <v>28</v>
      </c>
      <c r="Z22" s="3" t="s">
        <v>29</v>
      </c>
      <c r="AA22" s="3" t="s">
        <v>26</v>
      </c>
      <c r="AE22" s="13"/>
      <c r="AF22" s="3" t="s">
        <v>29</v>
      </c>
      <c r="AG22" s="3" t="s">
        <v>29</v>
      </c>
      <c r="AH22" s="3" t="s">
        <v>27</v>
      </c>
      <c r="AI22" s="3" t="s">
        <v>27</v>
      </c>
      <c r="AJ22" s="30"/>
      <c r="AK22" s="29"/>
      <c r="AL22" s="13"/>
      <c r="AM22" s="10" t="s">
        <v>24</v>
      </c>
      <c r="AN22" s="19"/>
      <c r="AO22" s="18">
        <f>COUNTA($B22:$AK22)</f>
        <v>20</v>
      </c>
      <c r="AP22" s="15" t="s">
        <v>58</v>
      </c>
    </row>
    <row r="23" spans="1:42 16355:16355" ht="30" customHeight="1">
      <c r="A23" s="10" t="s">
        <v>75</v>
      </c>
      <c r="B23" s="29"/>
      <c r="C23" s="56" t="s">
        <v>14</v>
      </c>
      <c r="D23" s="56" t="s">
        <v>15</v>
      </c>
      <c r="E23" s="56" t="s">
        <v>31</v>
      </c>
      <c r="F23" s="30"/>
      <c r="G23" s="30"/>
      <c r="H23" s="13"/>
      <c r="I23" s="29"/>
      <c r="J23" s="29"/>
      <c r="K23" s="29"/>
      <c r="L23" s="29"/>
      <c r="M23" s="29"/>
      <c r="N23" s="30"/>
      <c r="O23" s="31"/>
      <c r="P23" s="13"/>
      <c r="Q23" s="29"/>
      <c r="R23" s="29"/>
      <c r="S23" s="29"/>
      <c r="T23" s="29"/>
      <c r="U23" s="1" t="s">
        <v>14</v>
      </c>
      <c r="V23" s="1" t="s">
        <v>31</v>
      </c>
      <c r="W23" s="13"/>
      <c r="X23" s="3" t="s">
        <v>33</v>
      </c>
      <c r="Y23" s="3" t="s">
        <v>32</v>
      </c>
      <c r="Z23" s="3" t="s">
        <v>39</v>
      </c>
      <c r="AB23" s="2" t="s">
        <v>50</v>
      </c>
      <c r="AC23" s="2" t="s">
        <v>51</v>
      </c>
      <c r="AD23" s="30"/>
      <c r="AE23" s="13"/>
      <c r="AF23" s="3" t="s">
        <v>33</v>
      </c>
      <c r="AG23" s="3" t="s">
        <v>39</v>
      </c>
      <c r="AH23" s="3" t="s">
        <v>32</v>
      </c>
      <c r="AJ23" s="31"/>
      <c r="AK23" s="1" t="s">
        <v>15</v>
      </c>
      <c r="AL23" s="13"/>
      <c r="AM23" s="10" t="s">
        <v>75</v>
      </c>
      <c r="AN23" s="19"/>
      <c r="AO23" s="18">
        <f t="shared" si="9"/>
        <v>14</v>
      </c>
      <c r="AP23" s="15" t="s">
        <v>65</v>
      </c>
    </row>
    <row r="24" spans="1:42 16355:16355" ht="30" customHeight="1">
      <c r="A24" s="10" t="s">
        <v>76</v>
      </c>
      <c r="B24" s="30"/>
      <c r="C24" s="29"/>
      <c r="D24" s="29"/>
      <c r="E24" s="29"/>
      <c r="F24" s="29"/>
      <c r="G24" s="29"/>
      <c r="H24" s="13"/>
      <c r="I24" s="29"/>
      <c r="J24" s="29"/>
      <c r="K24" s="29"/>
      <c r="L24" s="29"/>
      <c r="M24" s="30"/>
      <c r="N24" s="30"/>
      <c r="O24" s="33"/>
      <c r="P24" s="13"/>
      <c r="Q24" s="29"/>
      <c r="R24" s="3" t="s">
        <v>39</v>
      </c>
      <c r="S24" s="3" t="s">
        <v>33</v>
      </c>
      <c r="T24" s="3" t="s">
        <v>32</v>
      </c>
      <c r="U24" s="30"/>
      <c r="V24" s="29"/>
      <c r="W24" s="13"/>
      <c r="AA24" s="29"/>
      <c r="AB24" s="30"/>
      <c r="AC24" s="30"/>
      <c r="AD24" s="33"/>
      <c r="AE24" s="13"/>
      <c r="AG24" s="29"/>
      <c r="AH24" s="31"/>
      <c r="AI24" s="29"/>
      <c r="AJ24" s="29"/>
      <c r="AK24" s="29"/>
      <c r="AL24" s="13"/>
      <c r="AM24" s="10" t="s">
        <v>76</v>
      </c>
      <c r="AN24" s="19"/>
      <c r="AO24" s="18">
        <f t="shared" si="9"/>
        <v>3</v>
      </c>
      <c r="AP24" s="15" t="s">
        <v>61</v>
      </c>
    </row>
    <row r="25" spans="1:42 16355:16355" ht="30" customHeight="1">
      <c r="A25" s="28" t="s">
        <v>82</v>
      </c>
      <c r="B25" s="31"/>
      <c r="C25" s="31"/>
      <c r="D25" s="31"/>
      <c r="E25" s="29"/>
      <c r="F25" s="2" t="s">
        <v>51</v>
      </c>
      <c r="G25" s="2" t="s">
        <v>50</v>
      </c>
      <c r="H25" s="13"/>
      <c r="I25" s="31"/>
      <c r="J25" s="30"/>
      <c r="K25" s="30"/>
      <c r="L25" s="30"/>
      <c r="M25" s="1" t="s">
        <v>14</v>
      </c>
      <c r="N25" s="1" t="s">
        <v>31</v>
      </c>
      <c r="O25" s="1" t="s">
        <v>15</v>
      </c>
      <c r="P25" s="13"/>
      <c r="Q25" s="31"/>
      <c r="S25" s="29"/>
      <c r="T25" s="29"/>
      <c r="U25" s="29"/>
      <c r="V25" s="30"/>
      <c r="W25" s="13"/>
      <c r="X25" s="33"/>
      <c r="Y25" s="30"/>
      <c r="Z25" s="30"/>
      <c r="AA25" s="30"/>
      <c r="AB25" s="30"/>
      <c r="AC25" s="33"/>
      <c r="AD25" s="33"/>
      <c r="AE25" s="13"/>
      <c r="AG25" s="30"/>
      <c r="AH25" s="30"/>
      <c r="AI25" s="30"/>
      <c r="AJ25" s="30"/>
      <c r="AK25" s="31"/>
      <c r="AL25" s="13"/>
      <c r="AM25" s="28" t="s">
        <v>82</v>
      </c>
      <c r="AN25" s="19"/>
      <c r="AO25" s="18">
        <f t="shared" si="9"/>
        <v>5</v>
      </c>
      <c r="AP25" s="15" t="s">
        <v>64</v>
      </c>
      <c r="XEA25" s="5"/>
    </row>
    <row r="26" spans="1:42 16355:16355" ht="30" customHeight="1">
      <c r="A26" s="10" t="s">
        <v>77</v>
      </c>
      <c r="B26" s="29"/>
      <c r="C26" s="31"/>
      <c r="D26" s="1" t="s">
        <v>129</v>
      </c>
      <c r="E26" s="3" t="s">
        <v>133</v>
      </c>
      <c r="F26" s="29"/>
      <c r="G26" s="2" t="s">
        <v>127</v>
      </c>
      <c r="H26" s="13"/>
      <c r="I26" s="4" t="s">
        <v>55</v>
      </c>
      <c r="J26" s="4" t="s">
        <v>55</v>
      </c>
      <c r="K26" s="32"/>
      <c r="L26" s="32"/>
      <c r="M26" s="29"/>
      <c r="N26" s="3" t="s">
        <v>132</v>
      </c>
      <c r="O26" s="3" t="s">
        <v>133</v>
      </c>
      <c r="P26" s="13"/>
      <c r="Q26" s="30"/>
      <c r="R26" s="29" t="s">
        <v>12</v>
      </c>
      <c r="S26" s="34" t="s">
        <v>12</v>
      </c>
      <c r="T26" s="34" t="s">
        <v>40</v>
      </c>
      <c r="U26" s="30"/>
      <c r="W26" s="13"/>
      <c r="X26" s="3" t="s">
        <v>134</v>
      </c>
      <c r="Y26" s="29"/>
      <c r="Z26" s="1" t="s">
        <v>131</v>
      </c>
      <c r="AA26" s="3" t="s">
        <v>132</v>
      </c>
      <c r="AB26" s="29"/>
      <c r="AC26" s="30"/>
      <c r="AD26" s="35" t="s">
        <v>49</v>
      </c>
      <c r="AE26" s="13"/>
      <c r="AF26" s="1" t="s">
        <v>130</v>
      </c>
      <c r="AG26" s="29"/>
      <c r="AH26" s="2" t="s">
        <v>128</v>
      </c>
      <c r="AI26" s="29"/>
      <c r="AJ26" s="3" t="s">
        <v>134</v>
      </c>
      <c r="AK26" s="29"/>
      <c r="AL26" s="13"/>
      <c r="AM26" s="10" t="s">
        <v>77</v>
      </c>
      <c r="AN26" s="19"/>
      <c r="AO26" s="18">
        <f t="shared" si="9"/>
        <v>17</v>
      </c>
      <c r="AP26" s="15" t="s">
        <v>85</v>
      </c>
    </row>
    <row r="27" spans="1:42 16355:16355" ht="30" customHeight="1">
      <c r="A27" s="9" t="s">
        <v>79</v>
      </c>
      <c r="B27" s="1" t="s">
        <v>146</v>
      </c>
      <c r="C27" s="29"/>
      <c r="D27" s="30"/>
      <c r="E27" s="2" t="s">
        <v>149</v>
      </c>
      <c r="F27" s="29"/>
      <c r="G27" s="1" t="s">
        <v>138</v>
      </c>
      <c r="H27" s="13"/>
      <c r="I27" s="1" t="s">
        <v>138</v>
      </c>
      <c r="J27" s="29"/>
      <c r="K27" s="29"/>
      <c r="L27" s="4" t="s">
        <v>11</v>
      </c>
      <c r="M27" s="29"/>
      <c r="N27" s="2" t="s">
        <v>148</v>
      </c>
      <c r="O27" s="1" t="s">
        <v>147</v>
      </c>
      <c r="P27" s="13"/>
      <c r="Q27" s="31"/>
      <c r="R27" s="29" t="s">
        <v>12</v>
      </c>
      <c r="S27" s="34" t="s">
        <v>12</v>
      </c>
      <c r="T27" s="34"/>
      <c r="U27" s="33"/>
      <c r="V27" s="3" t="s">
        <v>135</v>
      </c>
      <c r="W27" s="13"/>
      <c r="X27" s="33"/>
      <c r="Y27" s="1" t="s">
        <v>147</v>
      </c>
      <c r="Z27" s="29"/>
      <c r="AA27" s="1" t="s">
        <v>146</v>
      </c>
      <c r="AB27" s="29"/>
      <c r="AC27" s="3" t="s">
        <v>136</v>
      </c>
      <c r="AD27" s="35" t="s">
        <v>49</v>
      </c>
      <c r="AE27" s="13"/>
      <c r="AF27" s="2" t="s">
        <v>148</v>
      </c>
      <c r="AG27" s="30"/>
      <c r="AH27" s="30"/>
      <c r="AI27" s="2" t="s">
        <v>149</v>
      </c>
      <c r="AJ27" s="29"/>
      <c r="AK27" s="3" t="s">
        <v>137</v>
      </c>
      <c r="AL27" s="13"/>
      <c r="AM27" s="9" t="s">
        <v>79</v>
      </c>
      <c r="AN27" s="19"/>
      <c r="AO27" s="18">
        <f t="shared" si="9"/>
        <v>17</v>
      </c>
      <c r="AP27" s="15" t="s">
        <v>85</v>
      </c>
    </row>
    <row r="28" spans="1:42 16355:16355" ht="30" customHeight="1">
      <c r="A28" s="9" t="s">
        <v>25</v>
      </c>
      <c r="B28" s="1" t="s">
        <v>18</v>
      </c>
      <c r="D28" s="1" t="s">
        <v>42</v>
      </c>
      <c r="E28" s="1" t="s">
        <v>43</v>
      </c>
      <c r="F28" s="2" t="s">
        <v>16</v>
      </c>
      <c r="G28" s="3" t="s">
        <v>48</v>
      </c>
      <c r="H28" s="13"/>
      <c r="J28" s="3" t="s">
        <v>47</v>
      </c>
      <c r="K28" s="3" t="s">
        <v>46</v>
      </c>
      <c r="L28" s="30"/>
      <c r="M28" s="3" t="s">
        <v>48</v>
      </c>
      <c r="N28" s="2" t="s">
        <v>17</v>
      </c>
      <c r="O28" s="2" t="s">
        <v>16</v>
      </c>
      <c r="P28" s="13"/>
      <c r="Q28" s="1" t="s">
        <v>42</v>
      </c>
      <c r="R28" s="29"/>
      <c r="S28" s="1" t="s">
        <v>18</v>
      </c>
      <c r="T28" s="1" t="s">
        <v>43</v>
      </c>
      <c r="U28" s="3" t="s">
        <v>47</v>
      </c>
      <c r="V28" s="2" t="s">
        <v>17</v>
      </c>
      <c r="W28" s="13"/>
      <c r="X28" s="2" t="s">
        <v>17</v>
      </c>
      <c r="Y28" s="3" t="s">
        <v>48</v>
      </c>
      <c r="AA28" s="3" t="s">
        <v>46</v>
      </c>
      <c r="AB28" s="3" t="s">
        <v>47</v>
      </c>
      <c r="AD28" s="33"/>
      <c r="AE28" s="13"/>
      <c r="AF28" s="1" t="s">
        <v>42</v>
      </c>
      <c r="AG28" s="1" t="s">
        <v>18</v>
      </c>
      <c r="AI28" s="1" t="s">
        <v>43</v>
      </c>
      <c r="AJ28" s="2" t="s">
        <v>16</v>
      </c>
      <c r="AK28" s="3" t="s">
        <v>46</v>
      </c>
      <c r="AL28" s="13"/>
      <c r="AM28" s="9" t="s">
        <v>25</v>
      </c>
      <c r="AN28" s="19"/>
      <c r="AO28" s="18">
        <f>COUNTA($B28:$AK28)</f>
        <v>24</v>
      </c>
      <c r="AP28" s="15" t="s">
        <v>139</v>
      </c>
    </row>
    <row r="29" spans="1:42 16355:16355" ht="30" customHeight="1">
      <c r="A29" s="10" t="s">
        <v>41</v>
      </c>
      <c r="B29" s="29"/>
      <c r="C29" s="30"/>
      <c r="D29" s="29"/>
      <c r="E29" s="29"/>
      <c r="G29" s="3"/>
      <c r="H29" s="13"/>
      <c r="J29" s="3"/>
      <c r="K29" s="3"/>
      <c r="L29" s="30"/>
      <c r="M29" s="3"/>
      <c r="N29" s="30"/>
      <c r="O29" s="2"/>
      <c r="P29" s="13"/>
      <c r="Q29" s="29"/>
      <c r="R29" s="33"/>
      <c r="S29" s="29"/>
      <c r="T29" s="29"/>
      <c r="U29" s="3"/>
      <c r="V29" s="30"/>
      <c r="W29" s="13"/>
      <c r="X29" s="2"/>
      <c r="Y29" s="3"/>
      <c r="Z29" s="30"/>
      <c r="AA29" s="3"/>
      <c r="AB29" s="3"/>
      <c r="AC29" s="29"/>
      <c r="AD29" s="35" t="s">
        <v>49</v>
      </c>
      <c r="AE29" s="13"/>
      <c r="AF29" s="29"/>
      <c r="AG29" s="30"/>
      <c r="AH29" s="29"/>
      <c r="AI29" s="30"/>
      <c r="AK29" s="3"/>
      <c r="AL29" s="13"/>
      <c r="AM29" s="10" t="s">
        <v>41</v>
      </c>
      <c r="AN29" s="19"/>
      <c r="AO29" s="18">
        <f t="shared" si="9"/>
        <v>1</v>
      </c>
      <c r="AP29" s="15" t="s">
        <v>59</v>
      </c>
    </row>
    <row r="30" spans="1:42 16355:16355" ht="30" customHeight="1">
      <c r="A30" s="28" t="s">
        <v>80</v>
      </c>
      <c r="B30" s="29"/>
      <c r="C30" s="30"/>
      <c r="D30" s="29"/>
      <c r="E30" s="29"/>
      <c r="F30" s="31"/>
      <c r="G30" s="29"/>
      <c r="H30" s="13"/>
      <c r="I30" s="33"/>
      <c r="J30" s="29"/>
      <c r="K30" s="29"/>
      <c r="L30" s="31"/>
      <c r="M30" s="33"/>
      <c r="N30" s="29"/>
      <c r="O30" s="29"/>
      <c r="P30" s="13"/>
      <c r="R30" s="33"/>
      <c r="T30" s="29"/>
      <c r="U30" s="29"/>
      <c r="V30" s="30"/>
      <c r="W30" s="13"/>
      <c r="X30" s="33"/>
      <c r="Y30" s="29"/>
      <c r="Z30" s="30"/>
      <c r="AA30" s="29"/>
      <c r="AB30" s="33"/>
      <c r="AC30" s="29"/>
      <c r="AD30" s="33"/>
      <c r="AE30" s="13"/>
      <c r="AF30" s="29"/>
      <c r="AG30" s="30"/>
      <c r="AH30" s="29"/>
      <c r="AI30" s="30"/>
      <c r="AJ30" s="29"/>
      <c r="AK30" s="29"/>
      <c r="AL30" s="13"/>
      <c r="AM30" s="28" t="s">
        <v>80</v>
      </c>
      <c r="AN30" s="19"/>
      <c r="AO30" s="18">
        <f t="shared" si="9"/>
        <v>0</v>
      </c>
      <c r="AP30" s="15" t="s">
        <v>140</v>
      </c>
    </row>
    <row r="31" spans="1:42 16355:16355" ht="30" customHeight="1">
      <c r="A31" s="9" t="s">
        <v>81</v>
      </c>
      <c r="B31" s="3" t="s">
        <v>161</v>
      </c>
      <c r="C31" s="3" t="s">
        <v>162</v>
      </c>
      <c r="D31" s="29"/>
      <c r="E31" s="30"/>
      <c r="F31" s="29"/>
      <c r="G31" s="31"/>
      <c r="H31" s="13"/>
      <c r="I31" s="3" t="s">
        <v>163</v>
      </c>
      <c r="J31" s="3" t="s">
        <v>161</v>
      </c>
      <c r="K31" s="29"/>
      <c r="L31" s="1" t="s">
        <v>166</v>
      </c>
      <c r="M31" s="33"/>
      <c r="N31" s="33"/>
      <c r="O31" s="3" t="s">
        <v>162</v>
      </c>
      <c r="P31" s="13"/>
      <c r="Q31" s="2" t="s">
        <v>167</v>
      </c>
      <c r="R31" s="3" t="s">
        <v>163</v>
      </c>
      <c r="S31" s="29"/>
      <c r="U31" s="2" t="s">
        <v>168</v>
      </c>
      <c r="V31" s="29"/>
      <c r="W31" s="13"/>
      <c r="X31" s="33"/>
      <c r="Y31" s="30"/>
      <c r="Z31" s="29"/>
      <c r="AA31" s="29"/>
      <c r="AB31" s="33"/>
      <c r="AC31" s="1" t="s">
        <v>165</v>
      </c>
      <c r="AD31" s="35" t="s">
        <v>49</v>
      </c>
      <c r="AE31" s="13"/>
      <c r="AF31" s="29"/>
      <c r="AG31" s="30"/>
      <c r="AH31" s="30"/>
      <c r="AI31" s="1" t="s">
        <v>164</v>
      </c>
      <c r="AJ31" s="30"/>
      <c r="AK31" s="33"/>
      <c r="AL31" s="13"/>
      <c r="AM31" s="9" t="s">
        <v>81</v>
      </c>
      <c r="AN31" s="19"/>
      <c r="AO31" s="18">
        <f>COUNTA($B31:$AK31)</f>
        <v>12</v>
      </c>
      <c r="AP31" s="15" t="s">
        <v>86</v>
      </c>
    </row>
    <row r="32" spans="1:42 16355:16355" ht="30" customHeight="1">
      <c r="A32" s="9" t="s">
        <v>93</v>
      </c>
      <c r="B32" s="31"/>
      <c r="C32" s="30"/>
      <c r="D32" s="29"/>
      <c r="E32" s="30"/>
      <c r="F32" s="29"/>
      <c r="G32" s="31"/>
      <c r="H32" s="13"/>
      <c r="I32" s="29"/>
      <c r="J32" s="33"/>
      <c r="K32" s="29"/>
      <c r="L32" s="29"/>
      <c r="M32" s="33"/>
      <c r="N32" s="33"/>
      <c r="O32" s="30"/>
      <c r="P32" s="13"/>
      <c r="Q32" s="29"/>
      <c r="R32" s="30"/>
      <c r="S32" s="2" t="s">
        <v>102</v>
      </c>
      <c r="T32" s="2" t="s">
        <v>103</v>
      </c>
      <c r="U32" s="30"/>
      <c r="V32" s="29"/>
      <c r="W32" s="13"/>
      <c r="X32" s="33"/>
      <c r="Y32" s="30"/>
      <c r="Z32" s="29"/>
      <c r="AA32" s="29"/>
      <c r="AB32" s="33"/>
      <c r="AC32" s="33"/>
      <c r="AD32" s="33"/>
      <c r="AE32" s="13"/>
      <c r="AF32" s="29"/>
      <c r="AG32" s="30"/>
      <c r="AH32" s="30"/>
      <c r="AI32" s="29"/>
      <c r="AJ32" s="2" t="s">
        <v>100</v>
      </c>
      <c r="AK32" s="2" t="s">
        <v>101</v>
      </c>
      <c r="AL32" s="13"/>
      <c r="AM32" s="9" t="s">
        <v>93</v>
      </c>
      <c r="AN32" s="19"/>
      <c r="AO32" s="18">
        <f>COUNTA($B32:$AK32)</f>
        <v>4</v>
      </c>
      <c r="AP32" s="15" t="s">
        <v>63</v>
      </c>
    </row>
    <row r="33" spans="1:42" ht="30" customHeight="1">
      <c r="A33" s="10" t="s">
        <v>83</v>
      </c>
      <c r="B33" s="31"/>
      <c r="C33" s="30"/>
      <c r="D33" s="29"/>
      <c r="E33" s="30"/>
      <c r="F33" s="29"/>
      <c r="G33" s="31"/>
      <c r="H33" s="13"/>
      <c r="I33" s="29"/>
      <c r="J33" s="33"/>
      <c r="K33" s="29"/>
      <c r="L33" s="29"/>
      <c r="M33" s="33"/>
      <c r="N33" s="33"/>
      <c r="O33" s="30"/>
      <c r="P33" s="13"/>
      <c r="Q33" s="1" t="s">
        <v>44</v>
      </c>
      <c r="R33" s="1" t="s">
        <v>30</v>
      </c>
      <c r="S33" s="1" t="s">
        <v>45</v>
      </c>
      <c r="T33" s="30"/>
      <c r="U33" s="30"/>
      <c r="V33" s="29"/>
      <c r="W33" s="13"/>
      <c r="X33" s="33"/>
      <c r="Y33" s="30"/>
      <c r="Z33" s="29"/>
      <c r="AA33" s="29"/>
      <c r="AB33" s="33"/>
      <c r="AC33" s="33"/>
      <c r="AD33" s="33"/>
      <c r="AE33" s="13"/>
      <c r="AF33" s="29"/>
      <c r="AG33" s="30"/>
      <c r="AH33" s="30"/>
      <c r="AI33" s="29"/>
      <c r="AJ33" s="30"/>
      <c r="AK33" s="33"/>
      <c r="AL33" s="13"/>
      <c r="AM33" s="10" t="s">
        <v>83</v>
      </c>
      <c r="AN33" s="19"/>
      <c r="AO33" s="18">
        <f>COUNTA($B33:$AK33)</f>
        <v>3</v>
      </c>
      <c r="AP33" s="15" t="s">
        <v>61</v>
      </c>
    </row>
    <row r="34" spans="1:42" ht="30" customHeight="1">
      <c r="A34" s="10" t="s">
        <v>84</v>
      </c>
      <c r="B34" s="25"/>
      <c r="C34" s="25"/>
      <c r="D34" s="25"/>
      <c r="E34" s="25"/>
      <c r="F34" s="6"/>
      <c r="H34" s="13"/>
      <c r="I34" s="25"/>
      <c r="J34" s="25"/>
      <c r="K34" s="25"/>
      <c r="L34" s="6"/>
      <c r="M34" s="6"/>
      <c r="N34" s="6"/>
      <c r="O34" s="25"/>
      <c r="P34" s="13"/>
      <c r="Q34" s="29"/>
      <c r="R34" s="29"/>
      <c r="S34" s="29"/>
      <c r="T34" s="30"/>
      <c r="U34" s="31"/>
      <c r="V34" s="31"/>
      <c r="W34" s="13"/>
      <c r="X34" s="25"/>
      <c r="Y34" s="25"/>
      <c r="Z34" s="6"/>
      <c r="AA34" s="25"/>
      <c r="AB34" s="25"/>
      <c r="AC34" s="25"/>
      <c r="AD34" s="25"/>
      <c r="AE34" s="13"/>
      <c r="AF34" s="1" t="s">
        <v>44</v>
      </c>
      <c r="AG34" s="1" t="s">
        <v>45</v>
      </c>
      <c r="AH34" s="1" t="s">
        <v>30</v>
      </c>
      <c r="AI34" s="6"/>
      <c r="AJ34" s="6"/>
      <c r="AK34" s="25"/>
      <c r="AL34" s="13"/>
      <c r="AM34" s="10" t="s">
        <v>84</v>
      </c>
      <c r="AN34" s="19"/>
      <c r="AO34" s="18">
        <f t="shared" si="9"/>
        <v>3</v>
      </c>
      <c r="AP34" s="15" t="s">
        <v>61</v>
      </c>
    </row>
    <row r="35" spans="1:42" ht="91.5" customHeight="1">
      <c r="A35" s="24" t="s">
        <v>13</v>
      </c>
      <c r="B35" s="36" t="s">
        <v>169</v>
      </c>
      <c r="C35" s="42"/>
      <c r="D35" s="42"/>
      <c r="E35" s="42"/>
      <c r="F35" s="42"/>
      <c r="G35" s="42"/>
      <c r="H35" s="13"/>
      <c r="I35" s="36" t="s">
        <v>89</v>
      </c>
      <c r="J35" s="37"/>
      <c r="K35" s="37"/>
      <c r="L35" s="37"/>
      <c r="M35" s="37"/>
      <c r="N35" s="37"/>
      <c r="O35" s="37"/>
      <c r="P35" s="13"/>
      <c r="Q35" s="36" t="s">
        <v>88</v>
      </c>
      <c r="R35" s="37"/>
      <c r="S35" s="37"/>
      <c r="T35" s="37"/>
      <c r="U35" s="37"/>
      <c r="V35" s="37"/>
      <c r="W35" s="13"/>
      <c r="X35" s="36" t="s">
        <v>90</v>
      </c>
      <c r="Y35" s="36"/>
      <c r="Z35" s="36"/>
      <c r="AA35" s="36"/>
      <c r="AB35" s="36"/>
      <c r="AC35" s="36"/>
      <c r="AD35" s="36"/>
      <c r="AE35" s="13"/>
      <c r="AF35" s="36" t="s">
        <v>87</v>
      </c>
      <c r="AG35" s="37"/>
      <c r="AH35" s="37"/>
      <c r="AI35" s="37"/>
      <c r="AJ35" s="37"/>
      <c r="AK35" s="37"/>
      <c r="AL35" s="13"/>
      <c r="AM35" s="17"/>
      <c r="AN35" s="19"/>
      <c r="AO35" s="18"/>
      <c r="AP35" s="6"/>
    </row>
    <row r="36" spans="1:42" s="11" customFormat="1" ht="2.25" customHeight="1"/>
    <row r="37" spans="1:42" ht="16.5" customHeight="1"/>
    <row r="38" spans="1:42" ht="16.5" customHeight="1"/>
    <row r="39" spans="1:42" ht="16.5" customHeight="1"/>
    <row r="40" spans="1:42" ht="16.5" customHeight="1"/>
    <row r="41" spans="1:42" ht="16.5" customHeight="1"/>
    <row r="42" spans="1:42" ht="16.5" customHeight="1"/>
    <row r="43" spans="1:42" ht="16.5" customHeight="1"/>
    <row r="44" spans="1:42" ht="16.5" customHeight="1"/>
    <row r="45" spans="1:42" ht="16.5" customHeight="1"/>
    <row r="46" spans="1:42" ht="16.5" customHeight="1"/>
    <row r="47" spans="1:42" ht="16.5" customHeight="1"/>
    <row r="48" spans="1:42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</sheetData>
  <mergeCells count="23">
    <mergeCell ref="AP12:AP13"/>
    <mergeCell ref="AO12:AO13"/>
    <mergeCell ref="AN1:AN13"/>
    <mergeCell ref="AO1:AP10"/>
    <mergeCell ref="AM12:AM13"/>
    <mergeCell ref="B35:G35"/>
    <mergeCell ref="B12:G12"/>
    <mergeCell ref="A1:A2"/>
    <mergeCell ref="B1:G1"/>
    <mergeCell ref="I12:O12"/>
    <mergeCell ref="A12:A13"/>
    <mergeCell ref="AF35:AK35"/>
    <mergeCell ref="I1:O1"/>
    <mergeCell ref="AM1:AM2"/>
    <mergeCell ref="I35:O35"/>
    <mergeCell ref="Q1:V1"/>
    <mergeCell ref="Q12:V12"/>
    <mergeCell ref="Q35:V35"/>
    <mergeCell ref="X1:AD1"/>
    <mergeCell ref="X12:AD12"/>
    <mergeCell ref="X35:AD35"/>
    <mergeCell ref="AF1:AK1"/>
    <mergeCell ref="AF12:AK12"/>
  </mergeCells>
  <phoneticPr fontId="4" type="noConversion"/>
  <conditionalFormatting sqref="AN14:AN34">
    <cfRule type="expression" dxfId="0" priority="1">
      <formula>VALUE(AO14)&lt;&gt;VALUE(AP14)</formula>
    </cfRule>
  </conditionalFormatting>
  <pageMargins left="0.25" right="0.25" top="0.75" bottom="0.75" header="0.3" footer="0.3"/>
  <pageSetup paperSize="9" scale="1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1학기 시간표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조은상</dc:creator>
  <cp:lastModifiedBy>경남교육청</cp:lastModifiedBy>
  <cp:lastPrinted>2025-07-15T01:39:47Z</cp:lastPrinted>
  <dcterms:created xsi:type="dcterms:W3CDTF">2024-02-26T03:18:31Z</dcterms:created>
  <dcterms:modified xsi:type="dcterms:W3CDTF">2026-02-24T07:09:15Z</dcterms:modified>
</cp:coreProperties>
</file>